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workbook.xml" ContentType="application/vnd.openxmlformats-officedocument.spreadsheetml.sheet.main+xml"/>
  <Override PartName="/xl/charts/chartEx2.xml" ContentType="application/vnd.ms-office.chartex+xml"/>
  <Override PartName="/xl/charts/chartEx1.xml" ContentType="application/vnd.ms-office.chartex+xml"/>
  <Override PartName="/xl/charts/colors6.xml" ContentType="application/vnd.ms-office.chartcolorstyle+xml"/>
  <Override PartName="/xl/charts/style6.xml" ContentType="application/vnd.ms-office.chartstyle+xml"/>
  <Override PartName="/xl/charts/colors11.xml" ContentType="application/vnd.ms-office.chartcolorstyle+xml"/>
  <Override PartName="/xl/charts/style11.xml" ContentType="application/vnd.ms-office.chartstyle+xml"/>
  <Override PartName="/xl/charts/colors24.xml" ContentType="application/vnd.ms-office.chartcolorstyle+xml"/>
  <Override PartName="/xl/charts/style20.xml" ContentType="application/vnd.ms-office.chartstyle+xml"/>
  <Override PartName="/xl/charts/colors16.xml" ContentType="application/vnd.ms-office.chartcolorstyle+xml"/>
  <Override PartName="/xl/charts/style18.xml" ContentType="application/vnd.ms-office.chartstyle+xml"/>
  <Override PartName="/xl/charts/colors5.xml" ContentType="application/vnd.ms-office.chartcolorstyle+xml"/>
  <Override PartName="/xl/charts/colors28.xml" ContentType="application/vnd.ms-office.chartcolorstyle+xml"/>
  <Override PartName="/xl/charts/colors19.xml" ContentType="application/vnd.ms-office.chartcolorstyle+xml"/>
  <Override PartName="/xl/charts/style15.xml" ContentType="application/vnd.ms-office.chartstyle+xml"/>
  <Override PartName="/xl/charts/colors18.xml" ContentType="application/vnd.ms-office.chartcolorstyle+xml"/>
  <Override PartName="/xl/charts/style5.xml" ContentType="application/vnd.ms-office.chartstyle+xml"/>
  <Override PartName="/xl/charts/style27.xml" ContentType="application/vnd.ms-office.chartstyle+xml"/>
  <Override PartName="/xl/charts/colors22.xml" ContentType="application/vnd.ms-office.chartcolorstyle+xml"/>
  <Override PartName="/xl/charts/style29.xml" ContentType="application/vnd.ms-office.chartstyle+xml"/>
  <Override PartName="/xl/charts/style19.xml" ContentType="application/vnd.ms-office.chartstyle+xml"/>
  <Override PartName="/xl/charts/style21.xml" ContentType="application/vnd.ms-office.chartstyle+xml"/>
  <Override PartName="/xl/charts/style8.xml" ContentType="application/vnd.ms-office.chartstyle+xml"/>
  <Override PartName="/xl/charts/colors8.xml" ContentType="application/vnd.ms-office.chartcolorstyle+xml"/>
  <Override PartName="/xl/charts/style10.xml" ContentType="application/vnd.ms-office.chartstyle+xml"/>
  <Override PartName="/xl/charts/colors23.xml" ContentType="application/vnd.ms-office.chartcolorstyle+xml"/>
  <Override PartName="/xl/charts/style2.xml" ContentType="application/vnd.ms-office.chartstyle+xml"/>
  <Override PartName="/xl/charts/colors14.xml" ContentType="application/vnd.ms-office.chartcolorstyle+xml"/>
  <Override PartName="/xl/charts/colors26.xml" ContentType="application/vnd.ms-office.chartcolorstyle+xml"/>
  <Override PartName="/xl/charts/style23.xml" ContentType="application/vnd.ms-office.chartstyle+xml"/>
  <Override PartName="/xl/charts/colors25.xml" ContentType="application/vnd.ms-office.chartcolorstyle+xml"/>
  <Override PartName="/xl/charts/style4.xml" ContentType="application/vnd.ms-office.chartstyle+xml"/>
  <Override PartName="/xl/charts/style28.xml" ContentType="application/vnd.ms-office.chartstyle+xml"/>
  <Override PartName="/xl/charts/colors20.xml" ContentType="application/vnd.ms-office.chartcolorstyle+xml"/>
  <Override PartName="/xl/charts/colors9.xml" ContentType="application/vnd.ms-office.chartcolorstyle+xml"/>
  <Override PartName="/xl/charts/style12.xml" ContentType="application/vnd.ms-office.chartstyle+xml"/>
  <Override PartName="/xl/charts/style3.xml" ContentType="application/vnd.ms-office.chartstyle+xml"/>
  <Override PartName="/xl/charts/style13.xml" ContentType="application/vnd.ms-office.chartstyle+xml"/>
  <Override PartName="/xl/charts/colors4.xml" ContentType="application/vnd.ms-office.chartcolorstyle+xml"/>
  <Override PartName="/xl/charts/colors3.xml" ContentType="application/vnd.ms-office.chartcolorstyle+xml"/>
  <Override PartName="/xl/charts/colors27.xml" ContentType="application/vnd.ms-office.chartcolorstyle+xml"/>
  <Override PartName="/xl/charts/colors2.xml" ContentType="application/vnd.ms-office.chartcolorstyle+xml"/>
  <Override PartName="/xl/charts/style26.xml" ContentType="application/vnd.ms-office.chartstyle+xml"/>
  <Override PartName="/xl/charts/colors17.xml" ContentType="application/vnd.ms-office.chartcolorstyle+xml"/>
  <Override PartName="/xl/charts/style25.xml" ContentType="application/vnd.ms-office.chartstyle+xml"/>
  <Override PartName="/xl/charts/style1.xml" ContentType="application/vnd.ms-office.chartstyle+xml"/>
  <Override PartName="/xl/charts/colors13.xml" ContentType="application/vnd.ms-office.chartcolorstyle+xml"/>
  <Override PartName="/xl/charts/colors29.xml" ContentType="application/vnd.ms-office.chartcolorstyle+xml"/>
  <Override PartName="/xl/charts/colors12.xml" ContentType="application/vnd.ms-office.chartcolorstyle+xml"/>
  <Override PartName="/xl/charts/colors7.xml" ContentType="application/vnd.ms-office.chartcolorstyle+xml"/>
  <Override PartName="/xl/charts/colors1.xml" ContentType="application/vnd.ms-office.chartcolorstyle+xml"/>
  <Override PartName="/xl/charts/style16.xml" ContentType="application/vnd.ms-office.chartstyle+xml"/>
  <Override PartName="/xl/charts/style7.xml" ContentType="application/vnd.ms-office.chartstyle+xml"/>
  <Override PartName="/xl/charts/style22.xml" ContentType="application/vnd.ms-office.chartstyle+xml"/>
  <Override PartName="/xl/charts/colors10.xml" ContentType="application/vnd.ms-office.chartcolorstyle+xml"/>
  <Override PartName="/xl/charts/style14.xml" ContentType="application/vnd.ms-office.chartstyle+xml"/>
  <Override PartName="/xl/charts/style17.xml" ContentType="application/vnd.ms-office.chartstyle+xml"/>
  <Override PartName="/xl/charts/colors21.xml" ContentType="application/vnd.ms-office.chartcolorstyle+xml"/>
  <Override PartName="/xl/charts/style24.xml" ContentType="application/vnd.ms-office.chartstyle+xml"/>
  <Override PartName="/xl/charts/style9.xml" ContentType="application/vnd.ms-office.chartstyle+xml"/>
  <Override PartName="/xl/charts/colors15.xml" ContentType="application/vnd.ms-office.chartcolorstyle+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05" windowWidth="14805" windowHeight="8010" tabRatio="600" firstSheet="0" activeTab="0" autoFilterDateGrouping="1"/>
  </bookViews>
  <sheets>
    <sheet name="Report" sheetId="1" state="visible" r:id="rId1"/>
    <sheet name="gp_Plann_Projeto" sheetId="2" state="visible" r:id="rId2"/>
    <sheet name="gp_Plann_Sprint" sheetId="3" state="visible" r:id="rId3"/>
    <sheet name="gp_Cabecalhos" sheetId="4" state="visible" r:id="rId4"/>
    <sheet name="gp_Disponibilidade" sheetId="5" state="visible" r:id="rId5"/>
    <sheet name="gp_Transversalidade" sheetId="6" state="visible" r:id="rId6"/>
    <sheet name="gp_Roadmap" sheetId="7" state="visible" r:id="rId7"/>
    <sheet name="xKPI" sheetId="8" state="visible" r:id="rId8"/>
    <sheet name="xResponsaveis" sheetId="9" state="visible" r:id="rId9"/>
    <sheet name="xRotulos" sheetId="10" state="visible" r:id="rId10"/>
    <sheet name="xBurndownStorypoints" sheetId="11" state="visible" r:id="rId11"/>
    <sheet name="xBurndownTarefas" sheetId="12" state="visible" r:id="rId12"/>
    <sheet name="xBurndownHU" sheetId="13" state="visible" r:id="rId13"/>
    <sheet name="xHU_inOut" sheetId="14" state="visible" r:id="rId14"/>
    <sheet name="xAreas" sheetId="15" state="visible" r:id="rId15"/>
    <sheet name="xEsforcoHU" sheetId="16" state="visible" r:id="rId16"/>
    <sheet name="xHistograma" sheetId="17" state="visible" r:id="rId17"/>
    <sheet name="xHistograma2" sheetId="18" state="visible" r:id="rId18"/>
    <sheet name="xDispersaoTarefas" sheetId="19" state="visible" r:id="rId19"/>
    <sheet name="xWIP" sheetId="20" state="visible" r:id="rId20"/>
    <sheet name="xCFD" sheetId="21" state="visible" r:id="rId21"/>
    <sheet name="xCTS" sheetId="22" state="visible" r:id="rId22"/>
    <sheet name="xHUs" sheetId="23" state="visible" r:id="rId23"/>
  </sheets>
  <definedNames>
    <definedName name="_xlchart.v1.0" hidden="1">xHU_inOut!$A$2:$A$3</definedName>
    <definedName name="_xlchart.v1.1" hidden="1">xHU_inOut!$B$1</definedName>
    <definedName name="_xlchart.v1.2" hidden="1">xHU_inOut!$B$2:$B$3</definedName>
    <definedName name="_xlchart.v1.3" hidden="1">gp_Transversalidade!$A$2:$D$29</definedName>
    <definedName name="_xlchart.v1.4" hidden="1">gp_Transversalidade!$E$1</definedName>
    <definedName name="_xlchart.v1.5" hidden="1">gp_Transversalidade!$E$2:$E$29</definedName>
  </definedNames>
  <calcPr calcId="191028" fullCalcOnLoad="1" forceFullCalc="1"/>
</workbook>
</file>

<file path=xl/styles.xml><?xml version="1.0" encoding="utf-8"?>
<styleSheet xmlns="http://schemas.openxmlformats.org/spreadsheetml/2006/main">
  <numFmts count="1">
    <numFmt numFmtId="164" formatCode="[$-416]mmm\-yy;@"/>
  </numFmts>
  <fonts count="37">
    <font>
      <name val="Calibri"/>
      <family val="2"/>
      <color theme="1"/>
      <sz val="11"/>
      <scheme val="minor"/>
    </font>
    <font>
      <name val="Calibri"/>
      <family val="2"/>
      <color theme="10"/>
      <sz val="11"/>
      <u val="single"/>
      <scheme val="minor"/>
    </font>
    <font>
      <name val="Calibri"/>
      <color rgb="FF004140"/>
      <sz val="20"/>
    </font>
    <font>
      <name val="Calibri"/>
      <family val="2"/>
      <color theme="1"/>
      <sz val="16"/>
      <scheme val="minor"/>
    </font>
    <font>
      <name val="Calibri"/>
      <family val="2"/>
      <b val="1"/>
      <color rgb="FF004140"/>
      <sz val="16"/>
      <scheme val="minor"/>
    </font>
    <font>
      <name val="Calibri"/>
      <family val="2"/>
      <b val="1"/>
      <color rgb="FFED7D31"/>
      <sz val="12"/>
      <scheme val="minor"/>
    </font>
    <font>
      <name val="Google Sans Text"/>
      <charset val="1"/>
      <family val="2"/>
      <b val="1"/>
      <color rgb="FF1F1F1F"/>
      <sz val="11"/>
    </font>
    <font>
      <name val="Google Sans Text"/>
      <charset val="1"/>
      <family val="2"/>
      <color rgb="FF1F1F1F"/>
      <sz val="11"/>
    </font>
    <font>
      <name val="Aptos Narrow"/>
      <family val="2"/>
      <color theme="1"/>
      <sz val="9"/>
      <scheme val="minor"/>
    </font>
    <font>
      <name val="Aptos Narrow"/>
      <family val="2"/>
      <b val="1"/>
      <color theme="1"/>
      <sz val="9"/>
      <scheme val="minor"/>
    </font>
    <font>
      <name val="Calibri"/>
      <family val="2"/>
      <color rgb="FF004140"/>
      <sz val="11"/>
      <scheme val="minor"/>
    </font>
    <font>
      <name val="Aptos Narrow"/>
      <family val="2"/>
      <b val="1"/>
      <color rgb="FF004140"/>
      <sz val="9"/>
      <scheme val="minor"/>
    </font>
    <font>
      <name val="Calibri"/>
      <family val="2"/>
      <b val="1"/>
      <color theme="1"/>
      <sz val="11"/>
      <scheme val="minor"/>
    </font>
    <font>
      <name val="Aptos Narrow"/>
      <family val="2"/>
      <b val="1"/>
      <color rgb="FFDA8101"/>
      <sz val="9"/>
      <scheme val="minor"/>
    </font>
    <font>
      <name val="Aptos Narrow"/>
      <family val="2"/>
      <color rgb="FF004140"/>
      <sz val="9"/>
      <scheme val="minor"/>
    </font>
    <font>
      <name val="Calibri"/>
      <family val="2"/>
      <b val="1"/>
      <color rgb="FF004140"/>
      <sz val="11"/>
      <scheme val="minor"/>
    </font>
    <font>
      <name val="Aptos Narrow"/>
      <family val="2"/>
      <color rgb="FFED7D31"/>
      <sz val="9"/>
      <scheme val="minor"/>
    </font>
    <font>
      <name val="Aptos Narrow"/>
      <family val="2"/>
      <b val="1"/>
      <color rgb="FFED7D31"/>
      <sz val="9"/>
      <scheme val="minor"/>
    </font>
    <font>
      <name val="Calibri"/>
      <family val="2"/>
      <b val="1"/>
      <color theme="1"/>
      <sz val="14"/>
      <scheme val="minor"/>
    </font>
    <font>
      <name val="Calibri"/>
      <b val="1"/>
      <color rgb="FF004140"/>
      <sz val="26"/>
    </font>
    <font>
      <name val="Calibri"/>
      <i val="1"/>
      <color rgb="FF004140"/>
      <sz val="26"/>
    </font>
    <font>
      <name val="Aptos Narrow"/>
      <family val="2"/>
      <color rgb="FF000000"/>
      <sz val="9"/>
    </font>
    <font>
      <name val="Aptos Narrow"/>
      <family val="2"/>
      <b val="1"/>
      <color rgb="FF000000"/>
      <sz val="9"/>
    </font>
    <font>
      <name val="Calibri"/>
      <family val="2"/>
      <color rgb="FF000000"/>
      <sz val="11"/>
      <scheme val="minor"/>
    </font>
    <font>
      <name val="Aptos Narrow"/>
      <family val="2"/>
      <b val="1"/>
      <color rgb="FF000000"/>
      <sz val="10"/>
      <scheme val="minor"/>
    </font>
    <font>
      <name val="Aptos Narrow"/>
      <family val="2"/>
      <b val="1"/>
      <color rgb="FF000000"/>
      <sz val="8"/>
      <scheme val="minor"/>
    </font>
    <font>
      <name val="Calibri"/>
      <family val="2"/>
      <b val="1"/>
      <color theme="5"/>
      <sz val="16"/>
      <scheme val="minor"/>
    </font>
    <font>
      <name val="Arial"/>
      <charset val="1"/>
      <color theme="1"/>
      <sz val="10"/>
    </font>
    <font>
      <name val="Calibri"/>
      <charset val="1"/>
      <sz val="9"/>
    </font>
    <font>
      <name val="Arial"/>
      <color theme="1"/>
      <sz val="11"/>
    </font>
    <font>
      <name val="Arial"/>
      <i val="1"/>
      <color theme="4" tint="-0.249977111117893"/>
      <sz val="9"/>
    </font>
    <font>
      <name val="Calibri"/>
      <family val="2"/>
      <color theme="5"/>
      <sz val="12"/>
      <scheme val="minor"/>
    </font>
    <font>
      <name val="Arial"/>
      <sz val="9"/>
    </font>
    <font>
      <name val="Calibri"/>
      <family val="2"/>
      <color theme="1"/>
      <sz val="9"/>
      <scheme val="minor"/>
    </font>
    <font>
      <name val="Aptos Narrow"/>
      <family val="2"/>
      <b val="1"/>
      <color rgb="FF000000"/>
      <sz val="9"/>
      <scheme val="minor"/>
    </font>
    <font>
      <name val="Arial"/>
      <color rgb="FF000000"/>
      <sz val="9"/>
    </font>
    <font>
      <name val="Aptos Narrow"/>
      <family val="2"/>
      <b val="1"/>
      <color rgb="FF004140"/>
      <sz val="8"/>
      <scheme val="minor"/>
    </font>
  </fonts>
  <fills count="11">
    <fill>
      <patternFill/>
    </fill>
    <fill>
      <patternFill patternType="gray125"/>
    </fill>
    <fill>
      <patternFill patternType="solid">
        <fgColor rgb="FFF3F6F5"/>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5" tint="0.3999755851924192"/>
        <bgColor indexed="64"/>
      </patternFill>
    </fill>
    <fill>
      <patternFill patternType="solid">
        <fgColor theme="8" tint="0.7999816888943144"/>
        <bgColor indexed="64"/>
      </patternFill>
    </fill>
    <fill>
      <patternFill patternType="solid">
        <fgColor rgb="FFE8F3FC"/>
        <bgColor indexed="64"/>
      </patternFill>
    </fill>
    <fill>
      <patternFill patternType="solid">
        <fgColor rgb="FFFFFF00"/>
        <bgColor indexed="64"/>
      </patternFill>
    </fill>
    <fill>
      <patternFill patternType="solid">
        <fgColor theme="9" tint="0.5999938962981048"/>
        <bgColor indexed="64"/>
      </patternFill>
    </fill>
  </fills>
  <borders count="27">
    <border>
      <left/>
      <right/>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CCCCCC"/>
      </left>
      <right style="thin">
        <color rgb="FFCCCCCC"/>
      </right>
      <top style="thin">
        <color rgb="FF000000"/>
      </top>
      <bottom style="thin">
        <color rgb="FFCCCCCC"/>
      </bottom>
      <diagonal/>
    </border>
    <border>
      <left style="thin">
        <color rgb="FFCCCCCC"/>
      </left>
      <right style="thin">
        <color rgb="FFCCCCCC"/>
      </right>
      <top style="thin">
        <color rgb="FFCCCCCC"/>
      </top>
      <bottom style="thin">
        <color rgb="FFCCCCCC"/>
      </bottom>
      <diagonal/>
    </border>
    <border>
      <left/>
      <right/>
      <top style="thin">
        <color rgb="FF000000"/>
      </top>
      <bottom/>
      <diagonal/>
    </border>
    <border>
      <left style="dashed">
        <color theme="9" tint="0.3999755851924192"/>
      </left>
      <right/>
      <top style="dashed">
        <color theme="9" tint="0.3999755851924192"/>
      </top>
      <bottom/>
      <diagonal/>
    </border>
    <border>
      <left/>
      <right/>
      <top style="dashed">
        <color theme="9" tint="0.3999755851924192"/>
      </top>
      <bottom/>
      <diagonal/>
    </border>
    <border>
      <left/>
      <right style="dashed">
        <color theme="9" tint="0.3999755851924192"/>
      </right>
      <top style="dashed">
        <color theme="9" tint="0.3999755851924192"/>
      </top>
      <bottom/>
      <diagonal/>
    </border>
    <border>
      <left style="dashed">
        <color theme="9" tint="0.3999755851924192"/>
      </left>
      <right/>
      <top/>
      <bottom/>
      <diagonal/>
    </border>
    <border>
      <left/>
      <right style="dashed">
        <color theme="9" tint="0.3999755851924192"/>
      </right>
      <top/>
      <bottom/>
      <diagonal/>
    </border>
    <border>
      <left style="dashed">
        <color theme="9" tint="0.3999755851924192"/>
      </left>
      <right/>
      <top/>
      <bottom style="dashed">
        <color theme="9" tint="0.3999755851924192"/>
      </bottom>
      <diagonal/>
    </border>
    <border>
      <left/>
      <right/>
      <top/>
      <bottom style="dashed">
        <color theme="9" tint="0.3999755851924192"/>
      </bottom>
      <diagonal/>
    </border>
    <border>
      <left/>
      <right style="dashed">
        <color theme="9" tint="0.3999755851924192"/>
      </right>
      <top/>
      <bottom style="dashed">
        <color theme="9" tint="0.3999755851924192"/>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1F1F1F"/>
      </left>
      <right style="thin">
        <color rgb="FF1F1F1F"/>
      </right>
      <top style="thin">
        <color rgb="FF1F1F1F"/>
      </top>
      <bottom style="thin">
        <color rgb="FF1F1F1F"/>
      </bottom>
      <diagonal/>
    </border>
    <border>
      <left style="dashed">
        <color theme="9" tint="0.3999755851924192"/>
      </left>
      <right style="dashed">
        <color theme="9" tint="0.3999755851924192"/>
      </right>
      <top/>
      <bottom/>
      <diagonal/>
    </border>
    <border>
      <left style="dashed">
        <color theme="9" tint="0.3999755851924192"/>
      </left>
      <right style="dashed">
        <color theme="9" tint="0.3999755851924192"/>
      </right>
      <top/>
      <bottom style="dashed">
        <color theme="9" tint="0.3999755851924192"/>
      </bottom>
      <diagonal/>
    </border>
  </borders>
  <cellStyleXfs count="2">
    <xf numFmtId="0" fontId="0" fillId="0" borderId="0"/>
    <xf numFmtId="0" fontId="1" fillId="0" borderId="0"/>
  </cellStyleXfs>
  <cellXfs count="119">
    <xf numFmtId="0" fontId="0" fillId="0" borderId="0" pivotButton="0" quotePrefix="0" xfId="0"/>
    <xf numFmtId="0" fontId="3" fillId="0" borderId="0" pivotButton="0" quotePrefix="0" xfId="0"/>
    <xf numFmtId="0" fontId="0" fillId="0" borderId="0" applyAlignment="1" pivotButton="0" quotePrefix="0" xfId="0">
      <alignment horizontal="left"/>
    </xf>
    <xf numFmtId="9" fontId="0" fillId="0" borderId="0" applyAlignment="1" pivotButton="0" quotePrefix="0" xfId="0">
      <alignment horizontal="left"/>
    </xf>
    <xf numFmtId="14" fontId="0" fillId="0" borderId="0" pivotButton="0" quotePrefix="0" xfId="0"/>
    <xf numFmtId="2" fontId="0" fillId="0" borderId="0" pivotButton="0" quotePrefix="0" xfId="0"/>
    <xf numFmtId="0" fontId="0" fillId="2" borderId="0" pivotButton="0" quotePrefix="0" xfId="0"/>
    <xf numFmtId="0" fontId="2" fillId="2" borderId="0" pivotButton="0" quotePrefix="0" xfId="0"/>
    <xf numFmtId="0" fontId="3" fillId="2" borderId="0" applyAlignment="1" pivotButton="0" quotePrefix="0" xfId="0">
      <alignment horizontal="center" vertical="center"/>
    </xf>
    <xf numFmtId="0" fontId="0" fillId="2" borderId="0" applyAlignment="1" pivotButton="0" quotePrefix="0" xfId="0">
      <alignment horizontal="right"/>
    </xf>
    <xf numFmtId="14" fontId="0" fillId="2" borderId="0" pivotButton="0" quotePrefix="0" xfId="0"/>
    <xf numFmtId="22" fontId="0" fillId="0" borderId="0" pivotButton="0" quotePrefix="0" xfId="0"/>
    <xf numFmtId="0" fontId="6" fillId="0" borderId="0" applyAlignment="1" pivotButton="0" quotePrefix="0" xfId="0">
      <alignment readingOrder="1"/>
    </xf>
    <xf numFmtId="14" fontId="7" fillId="0" borderId="0" applyAlignment="1" pivotButton="0" quotePrefix="0" xfId="0">
      <alignment readingOrder="1"/>
    </xf>
    <xf numFmtId="0" fontId="7" fillId="0" borderId="0" applyAlignment="1" pivotButton="0" quotePrefix="0" xfId="0">
      <alignment readingOrder="1"/>
    </xf>
    <xf numFmtId="0" fontId="0" fillId="0" borderId="0" pivotButton="0" quotePrefix="1" xfId="0"/>
    <xf numFmtId="0" fontId="10" fillId="3" borderId="2" applyAlignment="1" pivotButton="0" quotePrefix="0" xfId="0">
      <alignment vertical="center"/>
    </xf>
    <xf numFmtId="0" fontId="14" fillId="3" borderId="2" applyAlignment="1" pivotButton="0" quotePrefix="0" xfId="0">
      <alignment horizontal="right" vertical="center"/>
    </xf>
    <xf numFmtId="1" fontId="0" fillId="0" borderId="0" pivotButton="0" quotePrefix="0" xfId="0"/>
    <xf numFmtId="0" fontId="10" fillId="4" borderId="0" applyAlignment="1" pivotButton="0" quotePrefix="0" xfId="0">
      <alignment vertical="center"/>
    </xf>
    <xf numFmtId="0" fontId="11" fillId="4" borderId="0" applyAlignment="1" pivotButton="0" quotePrefix="0" xfId="0">
      <alignment horizontal="right" vertical="center"/>
    </xf>
    <xf numFmtId="0" fontId="11" fillId="4" borderId="0" applyAlignment="1" pivotButton="0" quotePrefix="0" xfId="0">
      <alignment horizontal="center" vertical="center" wrapText="1"/>
    </xf>
    <xf numFmtId="0" fontId="11" fillId="4" borderId="0" applyAlignment="1" pivotButton="0" quotePrefix="0" xfId="0">
      <alignment horizontal="center" vertical="center"/>
    </xf>
    <xf numFmtId="164" fontId="11" fillId="4" borderId="0" applyAlignment="1" pivotButton="0" quotePrefix="0" xfId="0">
      <alignment horizontal="center" vertical="center"/>
    </xf>
    <xf numFmtId="0" fontId="8" fillId="0" borderId="0" applyAlignment="1" pivotButton="0" quotePrefix="0" xfId="0">
      <alignment horizontal="center" vertical="center" wrapText="1"/>
    </xf>
    <xf numFmtId="0" fontId="16" fillId="0" borderId="0" applyAlignment="1" pivotButton="0" quotePrefix="0" xfId="0">
      <alignment horizontal="center" vertical="center" wrapText="1"/>
    </xf>
    <xf numFmtId="0" fontId="9" fillId="4" borderId="0" applyAlignment="1" pivotButton="0" quotePrefix="0" xfId="0">
      <alignment horizontal="center" vertical="center" wrapText="1"/>
    </xf>
    <xf numFmtId="0" fontId="17" fillId="4" borderId="0" applyAlignment="1" pivotButton="0" quotePrefix="0" xfId="0">
      <alignment horizontal="center" vertical="center" wrapText="1"/>
    </xf>
    <xf numFmtId="0" fontId="4" fillId="3" borderId="0" applyAlignment="1" pivotButton="0" quotePrefix="0" xfId="0">
      <alignment horizontal="center" vertical="center"/>
    </xf>
    <xf numFmtId="0" fontId="3" fillId="2" borderId="0" pivotButton="0" quotePrefix="0" xfId="0"/>
    <xf numFmtId="0" fontId="0" fillId="2" borderId="0" applyAlignment="1" pivotButton="0" quotePrefix="0" xfId="0">
      <alignment horizontal="center"/>
    </xf>
    <xf numFmtId="0" fontId="14" fillId="3" borderId="1" applyAlignment="1" pivotButton="0" quotePrefix="0" xfId="0">
      <alignment horizontal="center" vertical="center"/>
    </xf>
    <xf numFmtId="0" fontId="12" fillId="2" borderId="0" applyAlignment="1" pivotButton="0" quotePrefix="0" xfId="0">
      <alignment horizontal="right"/>
    </xf>
    <xf numFmtId="0" fontId="19" fillId="2" borderId="0" applyAlignment="1" pivotButton="0" quotePrefix="0" xfId="0">
      <alignment horizontal="right"/>
    </xf>
    <xf numFmtId="0" fontId="20" fillId="2" borderId="0" pivotButton="0" quotePrefix="0" xfId="0"/>
    <xf numFmtId="0" fontId="21" fillId="0" borderId="0" pivotButton="0" quotePrefix="0" xfId="0"/>
    <xf numFmtId="0" fontId="23" fillId="0" borderId="0" pivotButton="0" quotePrefix="0" xfId="0"/>
    <xf numFmtId="10" fontId="21" fillId="0" borderId="0" pivotButton="0" quotePrefix="0" xfId="0"/>
    <xf numFmtId="0" fontId="24" fillId="4" borderId="0" applyAlignment="1" pivotButton="0" quotePrefix="0" xfId="0">
      <alignment horizontal="center" vertical="center"/>
    </xf>
    <xf numFmtId="0" fontId="25" fillId="4" borderId="0" applyAlignment="1" pivotButton="0" quotePrefix="0" xfId="0">
      <alignment horizontal="center" vertical="center"/>
    </xf>
    <xf numFmtId="0" fontId="26" fillId="3" borderId="0" applyAlignment="1" pivotButton="0" quotePrefix="0" xfId="0">
      <alignment horizontal="center" vertical="center"/>
    </xf>
    <xf numFmtId="0" fontId="27" fillId="0" borderId="3" applyAlignment="1" pivotButton="0" quotePrefix="0" xfId="0">
      <alignment readingOrder="1"/>
    </xf>
    <xf numFmtId="0" fontId="27" fillId="0" borderId="4" applyAlignment="1" pivotButton="0" quotePrefix="0" xfId="0">
      <alignment readingOrder="1"/>
    </xf>
    <xf numFmtId="0" fontId="27" fillId="0" borderId="0" applyAlignment="1" pivotButton="0" quotePrefix="0" xfId="0">
      <alignment readingOrder="1"/>
    </xf>
    <xf numFmtId="0" fontId="28" fillId="0" borderId="0" applyAlignment="1" pivotButton="0" quotePrefix="0" xfId="0">
      <alignment wrapText="1"/>
    </xf>
    <xf numFmtId="0" fontId="30" fillId="4" borderId="0" applyAlignment="1" pivotButton="0" quotePrefix="0" xfId="0">
      <alignment vertical="center" wrapText="1"/>
    </xf>
    <xf numFmtId="0" fontId="0" fillId="4" borderId="6" applyAlignment="1" pivotButton="0" quotePrefix="0" xfId="0">
      <alignment vertical="center"/>
    </xf>
    <xf numFmtId="0" fontId="0" fillId="4" borderId="7" applyAlignment="1" pivotButton="0" quotePrefix="0" xfId="0">
      <alignment vertical="center"/>
    </xf>
    <xf numFmtId="0" fontId="0" fillId="4" borderId="8" applyAlignment="1" pivotButton="0" quotePrefix="0" xfId="0">
      <alignment vertical="center"/>
    </xf>
    <xf numFmtId="0" fontId="0" fillId="4" borderId="9" applyAlignment="1" pivotButton="0" quotePrefix="0" xfId="0">
      <alignment horizontal="right" vertical="center"/>
    </xf>
    <xf numFmtId="0" fontId="30" fillId="4" borderId="10" applyAlignment="1" pivotButton="0" quotePrefix="0" xfId="0">
      <alignment vertical="center" wrapText="1"/>
    </xf>
    <xf numFmtId="0" fontId="29" fillId="0" borderId="0" pivotButton="0" quotePrefix="0" xfId="0"/>
    <xf numFmtId="0" fontId="32" fillId="0" borderId="0" applyAlignment="1" pivotButton="0" quotePrefix="0" xfId="0">
      <alignment wrapText="1"/>
    </xf>
    <xf numFmtId="0" fontId="27" fillId="0" borderId="0" applyAlignment="1" pivotButton="0" quotePrefix="1" xfId="0">
      <alignment readingOrder="1"/>
    </xf>
    <xf numFmtId="0" fontId="0" fillId="9" borderId="14" pivotButton="0" quotePrefix="0" xfId="0"/>
    <xf numFmtId="0" fontId="0" fillId="0" borderId="14" applyAlignment="1" pivotButton="0" quotePrefix="0" xfId="0">
      <alignment horizontal="left" wrapText="1"/>
    </xf>
    <xf numFmtId="0" fontId="1" fillId="0" borderId="14" applyAlignment="1" pivotButton="0" quotePrefix="0" xfId="1">
      <alignment horizontal="left" wrapText="1"/>
    </xf>
    <xf numFmtId="14" fontId="0" fillId="0" borderId="14" applyAlignment="1" pivotButton="0" quotePrefix="0" xfId="0">
      <alignment horizontal="left" wrapText="1"/>
    </xf>
    <xf numFmtId="0" fontId="22" fillId="9" borderId="14" pivotButton="0" quotePrefix="0" xfId="0"/>
    <xf numFmtId="0" fontId="21" fillId="10" borderId="14" pivotButton="0" quotePrefix="0" xfId="0"/>
    <xf numFmtId="0" fontId="21" fillId="0" borderId="14" pivotButton="0" quotePrefix="0" xfId="0"/>
    <xf numFmtId="10" fontId="21" fillId="10" borderId="14" pivotButton="0" quotePrefix="0" xfId="0"/>
    <xf numFmtId="10" fontId="21" fillId="0" borderId="14" pivotButton="0" quotePrefix="0" xfId="0"/>
    <xf numFmtId="0" fontId="21" fillId="9" borderId="14" pivotButton="0" quotePrefix="0" xfId="0"/>
    <xf numFmtId="0" fontId="0" fillId="0" borderId="14" pivotButton="0" quotePrefix="0" xfId="0"/>
    <xf numFmtId="0" fontId="33" fillId="9" borderId="14" applyAlignment="1" pivotButton="0" quotePrefix="0" xfId="0">
      <alignment wrapText="1"/>
    </xf>
    <xf numFmtId="0" fontId="33" fillId="0" borderId="14" applyAlignment="1" pivotButton="0" quotePrefix="0" xfId="0">
      <alignment wrapText="1"/>
    </xf>
    <xf numFmtId="0" fontId="35" fillId="9" borderId="14" applyAlignment="1" pivotButton="0" quotePrefix="0" xfId="0">
      <alignment horizontal="right" vertical="center"/>
    </xf>
    <xf numFmtId="0" fontId="35" fillId="0" borderId="14" applyAlignment="1" pivotButton="0" quotePrefix="0" xfId="0">
      <alignment horizontal="center" vertical="center" wrapText="1"/>
    </xf>
    <xf numFmtId="0" fontId="35" fillId="0" borderId="14" applyAlignment="1" pivotButton="0" quotePrefix="0" xfId="0">
      <alignment horizontal="left" vertical="center" wrapText="1"/>
    </xf>
    <xf numFmtId="0" fontId="14" fillId="3" borderId="5" applyAlignment="1" pivotButton="0" quotePrefix="0" xfId="0">
      <alignment horizontal="right" vertical="center"/>
    </xf>
    <xf numFmtId="164" fontId="35" fillId="0" borderId="14" applyAlignment="1" pivotButton="0" quotePrefix="0" xfId="0">
      <alignment horizontal="left" vertical="center" wrapText="1"/>
    </xf>
    <xf numFmtId="164" fontId="11" fillId="3" borderId="0" applyAlignment="1" pivotButton="0" quotePrefix="0" xfId="0">
      <alignment horizontal="center" vertical="top" wrapText="1"/>
    </xf>
    <xf numFmtId="164" fontId="13" fillId="3" borderId="0" applyAlignment="1" pivotButton="0" quotePrefix="0" xfId="0">
      <alignment horizontal="center" vertical="top" wrapText="1"/>
    </xf>
    <xf numFmtId="0" fontId="34" fillId="4" borderId="0" applyAlignment="1" pivotButton="0" quotePrefix="0" xfId="0">
      <alignment horizontal="center" vertical="center" wrapText="1"/>
    </xf>
    <xf numFmtId="0" fontId="33" fillId="0" borderId="15" applyAlignment="1" pivotButton="0" quotePrefix="0" xfId="0">
      <alignment wrapText="1"/>
    </xf>
    <xf numFmtId="0" fontId="0" fillId="0" borderId="16" pivotButton="0" quotePrefix="0" xfId="0"/>
    <xf numFmtId="0" fontId="27" fillId="0" borderId="17" applyAlignment="1" pivotButton="0" quotePrefix="0" xfId="0">
      <alignment readingOrder="1"/>
    </xf>
    <xf numFmtId="0" fontId="27" fillId="0" borderId="18" applyAlignment="1" pivotButton="0" quotePrefix="0" xfId="0">
      <alignment readingOrder="1"/>
    </xf>
    <xf numFmtId="0" fontId="27" fillId="0" borderId="19" applyAlignment="1" pivotButton="0" quotePrefix="0" xfId="0">
      <alignment readingOrder="1"/>
    </xf>
    <xf numFmtId="0" fontId="27" fillId="0" borderId="20" applyAlignment="1" pivotButton="0" quotePrefix="0" xfId="0">
      <alignment readingOrder="1"/>
    </xf>
    <xf numFmtId="0" fontId="27" fillId="0" borderId="21" applyAlignment="1" pivotButton="0" quotePrefix="0" xfId="0">
      <alignment readingOrder="1"/>
    </xf>
    <xf numFmtId="0" fontId="27" fillId="0" borderId="22" applyAlignment="1" pivotButton="0" quotePrefix="0" xfId="0">
      <alignment readingOrder="1"/>
    </xf>
    <xf numFmtId="10" fontId="0" fillId="0" borderId="0" pivotButton="0" quotePrefix="0" xfId="0"/>
    <xf numFmtId="0" fontId="27" fillId="0" borderId="23" applyAlignment="1" pivotButton="0" quotePrefix="0" xfId="0">
      <alignment readingOrder="1"/>
    </xf>
    <xf numFmtId="14" fontId="27" fillId="0" borderId="19" applyAlignment="1" pivotButton="0" quotePrefix="0" xfId="0">
      <alignment readingOrder="1"/>
    </xf>
    <xf numFmtId="14" fontId="27" fillId="0" borderId="21" applyAlignment="1" pivotButton="0" quotePrefix="0" xfId="0">
      <alignment readingOrder="1"/>
    </xf>
    <xf numFmtId="0" fontId="6" fillId="0" borderId="24" applyAlignment="1" pivotButton="0" quotePrefix="0" xfId="0">
      <alignment readingOrder="1"/>
    </xf>
    <xf numFmtId="0" fontId="7" fillId="0" borderId="24" applyAlignment="1" pivotButton="0" quotePrefix="0" xfId="0">
      <alignment readingOrder="1"/>
    </xf>
    <xf numFmtId="9" fontId="6" fillId="0" borderId="24" applyAlignment="1" pivotButton="0" quotePrefix="0" xfId="0">
      <alignment readingOrder="1"/>
    </xf>
    <xf numFmtId="14" fontId="7" fillId="0" borderId="24" applyAlignment="1" pivotButton="0" quotePrefix="0" xfId="0">
      <alignment readingOrder="1"/>
    </xf>
    <xf numFmtId="0" fontId="36" fillId="3" borderId="0" applyAlignment="1" pivotButton="0" quotePrefix="0" xfId="0">
      <alignment horizontal="center" vertical="top" wrapText="1"/>
    </xf>
    <xf numFmtId="10" fontId="27" fillId="0" borderId="20" applyAlignment="1" pivotButton="0" quotePrefix="0" xfId="0">
      <alignment readingOrder="1"/>
    </xf>
    <xf numFmtId="9" fontId="7" fillId="0" borderId="24" applyAlignment="1" pivotButton="0" quotePrefix="0" xfId="0">
      <alignment readingOrder="1"/>
    </xf>
    <xf numFmtId="14" fontId="6" fillId="0" borderId="24" applyAlignment="1" pivotButton="0" quotePrefix="0" xfId="0">
      <alignment readingOrder="1"/>
    </xf>
    <xf numFmtId="0" fontId="5" fillId="7" borderId="0" applyAlignment="1" pivotButton="0" quotePrefix="0" xfId="0">
      <alignment horizontal="left" vertical="center"/>
    </xf>
    <xf numFmtId="0" fontId="18" fillId="6" borderId="0" applyAlignment="1" pivotButton="0" quotePrefix="0" xfId="0">
      <alignment horizontal="center" vertical="center" textRotation="90"/>
    </xf>
    <xf numFmtId="0" fontId="18" fillId="5" borderId="0" applyAlignment="1" pivotButton="0" quotePrefix="0" xfId="0">
      <alignment horizontal="center" vertical="center" textRotation="90"/>
    </xf>
    <xf numFmtId="14" fontId="0" fillId="7" borderId="0" applyAlignment="1" pivotButton="0" quotePrefix="0" xfId="0">
      <alignment horizontal="left" vertical="top" wrapText="1"/>
    </xf>
    <xf numFmtId="0" fontId="0" fillId="7" borderId="0" applyAlignment="1" pivotButton="0" quotePrefix="0" xfId="0">
      <alignment horizontal="left" vertical="top" wrapText="1"/>
    </xf>
    <xf numFmtId="0" fontId="15" fillId="3" borderId="0" applyAlignment="1" pivotButton="0" quotePrefix="0" xfId="0">
      <alignment horizontal="center" vertical="center"/>
    </xf>
    <xf numFmtId="0" fontId="31" fillId="4" borderId="0" applyAlignment="1" pivotButton="0" quotePrefix="0" xfId="0">
      <alignment horizontal="center" vertical="center"/>
    </xf>
    <xf numFmtId="0" fontId="30" fillId="4" borderId="9" applyAlignment="1" pivotButton="0" quotePrefix="0" xfId="0">
      <alignment horizontal="center" vertical="center" wrapText="1"/>
    </xf>
    <xf numFmtId="0" fontId="30" fillId="4" borderId="0" applyAlignment="1" pivotButton="0" quotePrefix="0" xfId="0">
      <alignment horizontal="center" vertical="center" wrapText="1"/>
    </xf>
    <xf numFmtId="0" fontId="30" fillId="4" borderId="10" applyAlignment="1" pivotButton="0" quotePrefix="0" xfId="0">
      <alignment horizontal="center" vertical="center" wrapText="1"/>
    </xf>
    <xf numFmtId="0" fontId="30" fillId="4" borderId="11" applyAlignment="1" pivotButton="0" quotePrefix="0" xfId="0">
      <alignment horizontal="center" vertical="center" wrapText="1"/>
    </xf>
    <xf numFmtId="0" fontId="30" fillId="4" borderId="12" applyAlignment="1" pivotButton="0" quotePrefix="0" xfId="0">
      <alignment horizontal="center" vertical="center" wrapText="1"/>
    </xf>
    <xf numFmtId="0" fontId="30" fillId="4" borderId="13" applyAlignment="1" pivotButton="0" quotePrefix="0" xfId="0">
      <alignment horizontal="center" vertical="center" wrapText="1"/>
    </xf>
    <xf numFmtId="0" fontId="0" fillId="8" borderId="0" applyAlignment="1" pivotButton="0" quotePrefix="0" xfId="0">
      <alignment horizontal="left" vertical="top" wrapText="1"/>
    </xf>
    <xf numFmtId="0" fontId="5" fillId="8" borderId="0" applyAlignment="1" pivotButton="0" quotePrefix="0" xfId="0">
      <alignment horizontal="left" vertical="center"/>
    </xf>
    <xf numFmtId="0" fontId="31" fillId="4" borderId="7" applyAlignment="1" pivotButton="0" quotePrefix="0" xfId="0">
      <alignment horizontal="center" vertical="center"/>
    </xf>
    <xf numFmtId="0" fontId="0" fillId="0" borderId="7" pivotButton="0" quotePrefix="0" xfId="0"/>
    <xf numFmtId="0" fontId="30" fillId="4" borderId="25" applyAlignment="1" pivotButton="0" quotePrefix="0" xfId="0">
      <alignment horizontal="center" vertical="center" wrapText="1"/>
    </xf>
    <xf numFmtId="0" fontId="0" fillId="0" borderId="10" pivotButton="0" quotePrefix="0" xfId="0"/>
    <xf numFmtId="0" fontId="0" fillId="0" borderId="9" pivotButton="0" quotePrefix="0" xfId="0"/>
    <xf numFmtId="0" fontId="30" fillId="4" borderId="26" applyAlignment="1" pivotButton="0" quotePrefix="0" xfId="0">
      <alignment horizontal="center" vertical="center" wrapText="1"/>
    </xf>
    <xf numFmtId="0" fontId="0" fillId="0" borderId="11" pivotButton="0" quotePrefix="0" xfId="0"/>
    <xf numFmtId="0" fontId="0" fillId="0" borderId="12" pivotButton="0" quotePrefix="0" xfId="0"/>
    <xf numFmtId="0" fontId="0" fillId="0" borderId="13" pivotButton="0" quotePrefix="0" xfId="0"/>
  </cellXfs>
  <cellStyles count="2">
    <cellStyle name="Normal" xfId="0" builtinId="0"/>
    <cellStyle name="Hyperlink" xfId="1"/>
  </cellStyle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7.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r>
              <a:rPr lang="en-US"/>
              <a:t>BURNDOWN DA SPRINT (por demanda/tarefa)</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endParaRPr lang="en-US"/>
        </a:p>
      </c:txPr>
    </c:title>
    <c:autoTitleDeleted val="0"/>
    <c:plotArea>
      <c:layout/>
      <c:lineChart>
        <c:grouping val="standard"/>
        <c:varyColors val="0"/>
        <c:ser>
          <c:idx val="0"/>
          <c:order val="0"/>
          <c:tx>
            <c:strRef>
              <c:f>xBurndownTarefas!$B$1</c:f>
              <c:strCache>
                <c:ptCount val="1"/>
                <c:pt idx="0">
                  <c:v>Meta (Linear)</c:v>
                </c:pt>
              </c:strCache>
            </c:strRef>
          </c:tx>
          <c:spPr>
            <a:ln w="28575" cap="flat" cmpd="sng" algn="ctr">
              <a:solidFill>
                <a:srgbClr val="808080"/>
              </a:solidFill>
              <a:prstDash val="sysDash"/>
              <a:round/>
              <a:headEnd type="none" w="med" len="med"/>
              <a:tailEnd type="none" w="med" len="med"/>
            </a:ln>
            <a:effectLst/>
          </c:spPr>
          <c:marker>
            <c:symbol val="none"/>
          </c:marker>
          <c:cat>
            <c:numRef>
              <c:f>xBurndownTarefas!$A$2:$A$32</c:f>
              <c:numCache>
                <c:formatCode>m/d/yyyy</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xBurndownTarefas!$B$2:$B$32</c:f>
              <c:numCache>
                <c:formatCode>General</c:formatCode>
                <c:ptCount val="31"/>
                <c:pt idx="0">
                  <c:v>40</c:v>
                </c:pt>
                <c:pt idx="1">
                  <c:v>39</c:v>
                </c:pt>
                <c:pt idx="2">
                  <c:v>37</c:v>
                </c:pt>
                <c:pt idx="3">
                  <c:v>36</c:v>
                </c:pt>
                <c:pt idx="4">
                  <c:v>35</c:v>
                </c:pt>
                <c:pt idx="5">
                  <c:v>33</c:v>
                </c:pt>
                <c:pt idx="6">
                  <c:v>32</c:v>
                </c:pt>
                <c:pt idx="7">
                  <c:v>31</c:v>
                </c:pt>
                <c:pt idx="8">
                  <c:v>29</c:v>
                </c:pt>
                <c:pt idx="9">
                  <c:v>28</c:v>
                </c:pt>
                <c:pt idx="10">
                  <c:v>27</c:v>
                </c:pt>
                <c:pt idx="11">
                  <c:v>25</c:v>
                </c:pt>
                <c:pt idx="12">
                  <c:v>24</c:v>
                </c:pt>
                <c:pt idx="13">
                  <c:v>23</c:v>
                </c:pt>
                <c:pt idx="14">
                  <c:v>21</c:v>
                </c:pt>
                <c:pt idx="15">
                  <c:v>20</c:v>
                </c:pt>
                <c:pt idx="16">
                  <c:v>19</c:v>
                </c:pt>
                <c:pt idx="17">
                  <c:v>17</c:v>
                </c:pt>
                <c:pt idx="18">
                  <c:v>16</c:v>
                </c:pt>
                <c:pt idx="19">
                  <c:v>15</c:v>
                </c:pt>
                <c:pt idx="20">
                  <c:v>13</c:v>
                </c:pt>
                <c:pt idx="21">
                  <c:v>12</c:v>
                </c:pt>
                <c:pt idx="22">
                  <c:v>11</c:v>
                </c:pt>
                <c:pt idx="23">
                  <c:v>9</c:v>
                </c:pt>
                <c:pt idx="24">
                  <c:v>8</c:v>
                </c:pt>
                <c:pt idx="25">
                  <c:v>7</c:v>
                </c:pt>
                <c:pt idx="26">
                  <c:v>5</c:v>
                </c:pt>
                <c:pt idx="27">
                  <c:v>4</c:v>
                </c:pt>
                <c:pt idx="28">
                  <c:v>3</c:v>
                </c:pt>
                <c:pt idx="29">
                  <c:v>1</c:v>
                </c:pt>
                <c:pt idx="30">
                  <c:v>0</c:v>
                </c:pt>
              </c:numCache>
            </c:numRef>
          </c:val>
          <c:smooth val="0"/>
          <c:extLst>
            <c:ext xmlns:c16="http://schemas.microsoft.com/office/drawing/2014/chart" uri="{C3380CC4-5D6E-409C-BE32-E72D297353CC}">
              <c16:uniqueId val="{0000000D-6CA0-4B8B-844A-AF6EA280BFC1}"/>
            </c:ext>
          </c:extLst>
        </c:ser>
        <c:ser>
          <c:idx val="1"/>
          <c:order val="1"/>
          <c:tx>
            <c:strRef>
              <c:f>xBurndownTarefas!$C$1</c:f>
              <c:strCache>
                <c:ptCount val="1"/>
                <c:pt idx="0">
                  <c:v>Planejado</c:v>
                </c:pt>
              </c:strCache>
            </c:strRef>
          </c:tx>
          <c:spPr>
            <a:ln w="38100" cap="rnd">
              <a:solidFill>
                <a:srgbClr val="9BC2E6"/>
              </a:solidFill>
              <a:prstDash val="solid"/>
              <a:round/>
            </a:ln>
            <a:effectLst/>
          </c:spPr>
          <c:marker>
            <c:symbol val="none"/>
          </c:marker>
          <c:cat>
            <c:numRef>
              <c:f>xBurndownTarefas!$A$2:$A$32</c:f>
              <c:numCache>
                <c:formatCode>m/d/yyyy</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xBurndownTarefas!$C$2:$C$32</c:f>
              <c:numCache>
                <c:formatCode>General</c:formatCode>
                <c:ptCount val="31"/>
                <c:pt idx="0">
                  <c:v>40</c:v>
                </c:pt>
                <c:pt idx="1">
                  <c:v>40</c:v>
                </c:pt>
                <c:pt idx="2">
                  <c:v>40</c:v>
                </c:pt>
                <c:pt idx="3">
                  <c:v>40</c:v>
                </c:pt>
                <c:pt idx="4">
                  <c:v>40</c:v>
                </c:pt>
                <c:pt idx="5">
                  <c:v>40</c:v>
                </c:pt>
                <c:pt idx="6">
                  <c:v>32</c:v>
                </c:pt>
                <c:pt idx="7">
                  <c:v>32</c:v>
                </c:pt>
                <c:pt idx="8">
                  <c:v>32</c:v>
                </c:pt>
                <c:pt idx="9">
                  <c:v>32</c:v>
                </c:pt>
                <c:pt idx="10">
                  <c:v>32</c:v>
                </c:pt>
                <c:pt idx="11">
                  <c:v>32</c:v>
                </c:pt>
                <c:pt idx="12">
                  <c:v>24</c:v>
                </c:pt>
                <c:pt idx="13">
                  <c:v>24</c:v>
                </c:pt>
                <c:pt idx="14">
                  <c:v>24</c:v>
                </c:pt>
                <c:pt idx="15">
                  <c:v>24</c:v>
                </c:pt>
                <c:pt idx="16">
                  <c:v>24</c:v>
                </c:pt>
                <c:pt idx="17">
                  <c:v>24</c:v>
                </c:pt>
                <c:pt idx="18">
                  <c:v>16</c:v>
                </c:pt>
                <c:pt idx="19">
                  <c:v>16</c:v>
                </c:pt>
                <c:pt idx="20">
                  <c:v>16</c:v>
                </c:pt>
                <c:pt idx="21">
                  <c:v>16</c:v>
                </c:pt>
                <c:pt idx="22">
                  <c:v>16</c:v>
                </c:pt>
                <c:pt idx="23">
                  <c:v>16</c:v>
                </c:pt>
                <c:pt idx="24">
                  <c:v>8</c:v>
                </c:pt>
                <c:pt idx="25">
                  <c:v>8</c:v>
                </c:pt>
                <c:pt idx="26">
                  <c:v>8</c:v>
                </c:pt>
                <c:pt idx="27">
                  <c:v>8</c:v>
                </c:pt>
                <c:pt idx="28">
                  <c:v>8</c:v>
                </c:pt>
                <c:pt idx="29">
                  <c:v>8</c:v>
                </c:pt>
                <c:pt idx="30">
                  <c:v>0</c:v>
                </c:pt>
              </c:numCache>
            </c:numRef>
          </c:val>
          <c:smooth val="0"/>
          <c:extLst>
            <c:ext xmlns:c16="http://schemas.microsoft.com/office/drawing/2014/chart" uri="{C3380CC4-5D6E-409C-BE32-E72D297353CC}">
              <c16:uniqueId val="{0000000F-6CA0-4B8B-844A-AF6EA280BFC1}"/>
            </c:ext>
          </c:extLst>
        </c:ser>
        <c:ser>
          <c:idx val="2"/>
          <c:order val="2"/>
          <c:tx>
            <c:strRef>
              <c:f>xBurndownTarefas!$D$1</c:f>
              <c:strCache>
                <c:ptCount val="1"/>
                <c:pt idx="0">
                  <c:v>A Realizar</c:v>
                </c:pt>
              </c:strCache>
            </c:strRef>
          </c:tx>
          <c:spPr>
            <a:ln w="28575" cap="rnd">
              <a:solidFill>
                <a:srgbClr val="548235"/>
              </a:solidFill>
              <a:prstDash val="solid"/>
              <a:round/>
            </a:ln>
            <a:effectLst/>
          </c:spPr>
          <c:marker>
            <c:symbol val="circle"/>
            <c:size val="5"/>
            <c:spPr>
              <a:solidFill>
                <a:schemeClr val="accent3"/>
              </a:solidFill>
              <a:ln w="9525">
                <a:solidFill>
                  <a:srgbClr val="000000"/>
                </a:solidFill>
                <a:prstDash val="solid"/>
              </a:ln>
              <a:effectLst/>
            </c:spPr>
          </c:marker>
          <c:cat>
            <c:numRef>
              <c:f>xBurndownTarefas!$A$2:$A$32</c:f>
              <c:numCache>
                <c:formatCode>m/d/yyyy</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xBurndownTarefas!$D$2:$D$32</c:f>
              <c:numCache>
                <c:formatCode>General</c:formatCode>
                <c:ptCount val="31"/>
                <c:pt idx="0">
                  <c:v>40</c:v>
                </c:pt>
                <c:pt idx="1">
                  <c:v>40</c:v>
                </c:pt>
                <c:pt idx="2">
                  <c:v>40</c:v>
                </c:pt>
                <c:pt idx="3">
                  <c:v>40</c:v>
                </c:pt>
                <c:pt idx="4">
                  <c:v>40</c:v>
                </c:pt>
                <c:pt idx="5">
                  <c:v>40</c:v>
                </c:pt>
                <c:pt idx="6">
                  <c:v>40</c:v>
                </c:pt>
                <c:pt idx="7">
                  <c:v>40</c:v>
                </c:pt>
                <c:pt idx="8">
                  <c:v>36</c:v>
                </c:pt>
                <c:pt idx="9">
                  <c:v>36</c:v>
                </c:pt>
                <c:pt idx="10">
                  <c:v>36</c:v>
                </c:pt>
                <c:pt idx="11">
                  <c:v>36</c:v>
                </c:pt>
                <c:pt idx="12">
                  <c:v>30</c:v>
                </c:pt>
                <c:pt idx="13">
                  <c:v>30</c:v>
                </c:pt>
                <c:pt idx="14">
                  <c:v>30</c:v>
                </c:pt>
                <c:pt idx="15">
                  <c:v>26</c:v>
                </c:pt>
                <c:pt idx="16">
                  <c:v>22</c:v>
                </c:pt>
                <c:pt idx="17">
                  <c:v>17</c:v>
                </c:pt>
                <c:pt idx="18">
                  <c:v>17</c:v>
                </c:pt>
                <c:pt idx="19">
                  <c:v>16</c:v>
                </c:pt>
                <c:pt idx="20">
                  <c:v>16</c:v>
                </c:pt>
                <c:pt idx="21">
                  <c:v>16</c:v>
                </c:pt>
                <c:pt idx="22">
                  <c:v>13</c:v>
                </c:pt>
                <c:pt idx="23">
                  <c:v>7</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1-6CA0-4B8B-844A-AF6EA280BFC1}"/>
            </c:ext>
          </c:extLst>
        </c:ser>
        <c:dLbls>
          <c:showLegendKey val="0"/>
          <c:showVal val="0"/>
          <c:showCatName val="0"/>
          <c:showSerName val="0"/>
          <c:showPercent val="0"/>
          <c:showBubbleSize val="0"/>
        </c:dLbls>
        <c:smooth val="0"/>
        <c:axId val="64778760"/>
        <c:axId val="64780808"/>
      </c:lineChart>
      <c:dateAx>
        <c:axId val="64778760"/>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80808"/>
        <c:crosses val="autoZero"/>
        <c:auto val="1"/>
        <c:lblOffset val="100"/>
        <c:baseTimeUnit val="days"/>
      </c:dateAx>
      <c:valAx>
        <c:axId val="64780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787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rgbClr val="000000"/>
              </a:solidFill>
              <a:latin typeface="+mn-lt"/>
              <a:ea typeface="+mn-ea"/>
              <a:cs typeface="+mn-cs"/>
            </a:defRPr>
          </a:pPr>
          <a:endParaRPr lang="en-US"/>
        </a:p>
      </c:txPr>
    </c:legend>
    <c:plotVisOnly val="1"/>
    <c:dispBlanksAs val="zero"/>
    <c:showDLblsOverMax val="0"/>
  </c:chart>
  <c:spPr>
    <a:solidFill>
      <a:srgbClr val="F7EDE6"/>
    </a:solid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r>
              <a:rPr lang="en-US"/>
              <a:t>ENTREGAS POR CATEGORIA NA SPRINT</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endParaRPr lang="en-US"/>
        </a:p>
      </c:txPr>
    </c:title>
    <c:autoTitleDeleted val="0"/>
    <c:plotArea>
      <c:layout/>
      <c:barChart>
        <c:barDir val="bar"/>
        <c:grouping val="stacked"/>
        <c:varyColors val="0"/>
        <c:ser>
          <c:idx val="2"/>
          <c:order val="0"/>
          <c:tx>
            <c:strRef>
              <c:f>xRotulos!$D$1</c:f>
              <c:strCache>
                <c:ptCount val="1"/>
                <c:pt idx="0">
                  <c:v>Leadtime (em dias)</c:v>
                </c:pt>
              </c:strCache>
            </c:strRef>
          </c:tx>
          <c:spPr>
            <a:solidFill>
              <a:srgbClr val="4472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xRotulos!$A$2:$A$25</c:f>
              <c:strCache>
                <c:ptCount val="24"/>
                <c:pt idx="0">
                  <c:v>UX (7/18)</c:v>
                </c:pt>
                <c:pt idx="1">
                  <c:v>DEV (10/18)</c:v>
                </c:pt>
                <c:pt idx="2">
                  <c:v>GP (11/17)</c:v>
                </c:pt>
                <c:pt idx="3">
                  <c:v>NAO MAPEADO (5/15)</c:v>
                </c:pt>
                <c:pt idx="4">
                  <c:v>HU034 - REGISTRO E PUBLICAÇÃO (2/15)</c:v>
                </c:pt>
                <c:pt idx="5">
                  <c:v>SERVANT.LEADER (10/11)</c:v>
                </c:pt>
                <c:pt idx="6">
                  <c:v>FIGMA.PROTOTIPO (6/9)</c:v>
                </c:pt>
                <c:pt idx="7">
                  <c:v>REQUISITOS (7/7)</c:v>
                </c:pt>
                <c:pt idx="8">
                  <c:v>HU029- CONSTRUÇÃO UI/UX DESKTOP (4/5)</c:v>
                </c:pt>
                <c:pt idx="9">
                  <c:v>PO (4/5)</c:v>
                </c:pt>
                <c:pt idx="10">
                  <c:v>MOBILE (3/5)</c:v>
                </c:pt>
                <c:pt idx="11">
                  <c:v>DESKTOP (3/5)</c:v>
                </c:pt>
                <c:pt idx="12">
                  <c:v>HU030 - CONSTRUÇÃO UI/UX MOBILE (4/5)</c:v>
                </c:pt>
                <c:pt idx="13">
                  <c:v>FIGMA.PUBLICACAO (0/4)</c:v>
                </c:pt>
                <c:pt idx="14">
                  <c:v>HU031 - BENCHMARK DEV (4/4)</c:v>
                </c:pt>
                <c:pt idx="15">
                  <c:v>HU032 - CONSTRUÇÃO DEV (4/4)</c:v>
                </c:pt>
                <c:pt idx="16">
                  <c:v>HU033 - TESTES DEV (4/4)</c:v>
                </c:pt>
                <c:pt idx="17">
                  <c:v>FIGMA.CENTRALIZADOR (0/4)</c:v>
                </c:pt>
                <c:pt idx="18">
                  <c:v>DEV.TESTES (3/3)</c:v>
                </c:pt>
                <c:pt idx="19">
                  <c:v>DEV.REVISAO (1/3)</c:v>
                </c:pt>
                <c:pt idx="20">
                  <c:v>DEV.PUBLICACAO (0/3)</c:v>
                </c:pt>
                <c:pt idx="21">
                  <c:v>DEV.CONSTRUCAO (3/3)</c:v>
                </c:pt>
                <c:pt idx="22">
                  <c:v>DEV.BENCH (3/3)</c:v>
                </c:pt>
                <c:pt idx="23">
                  <c:v>PROJETOS TRANSVERSAIS (1/1)</c:v>
                </c:pt>
              </c:strCache>
            </c:strRef>
          </c:cat>
          <c:val>
            <c:numRef>
              <c:f>xRotulos!$D$2:$D$25</c:f>
              <c:numCache>
                <c:formatCode>General</c:formatCode>
                <c:ptCount val="24"/>
                <c:pt idx="0">
                  <c:v>19.57</c:v>
                </c:pt>
                <c:pt idx="1">
                  <c:v>20.2</c:v>
                </c:pt>
                <c:pt idx="2">
                  <c:v>10.91</c:v>
                </c:pt>
                <c:pt idx="3">
                  <c:v>9.6</c:v>
                </c:pt>
                <c:pt idx="4">
                  <c:v>16</c:v>
                </c:pt>
                <c:pt idx="5">
                  <c:v>11.9</c:v>
                </c:pt>
                <c:pt idx="6">
                  <c:v>19.170000000000002</c:v>
                </c:pt>
                <c:pt idx="7">
                  <c:v>13.43</c:v>
                </c:pt>
                <c:pt idx="8">
                  <c:v>17.75</c:v>
                </c:pt>
                <c:pt idx="9">
                  <c:v>11.75</c:v>
                </c:pt>
                <c:pt idx="10">
                  <c:v>18.670000000000002</c:v>
                </c:pt>
                <c:pt idx="11">
                  <c:v>19.670000000000002</c:v>
                </c:pt>
                <c:pt idx="12">
                  <c:v>17</c:v>
                </c:pt>
                <c:pt idx="13">
                  <c:v>0</c:v>
                </c:pt>
                <c:pt idx="14">
                  <c:v>22.25</c:v>
                </c:pt>
                <c:pt idx="15">
                  <c:v>15</c:v>
                </c:pt>
                <c:pt idx="16">
                  <c:v>17.25</c:v>
                </c:pt>
                <c:pt idx="17">
                  <c:v>0</c:v>
                </c:pt>
                <c:pt idx="18">
                  <c:v>19</c:v>
                </c:pt>
                <c:pt idx="19">
                  <c:v>20</c:v>
                </c:pt>
                <c:pt idx="20">
                  <c:v>0</c:v>
                </c:pt>
                <c:pt idx="21">
                  <c:v>16</c:v>
                </c:pt>
                <c:pt idx="22">
                  <c:v>25.67</c:v>
                </c:pt>
                <c:pt idx="23">
                  <c:v>3</c:v>
                </c:pt>
              </c:numCache>
            </c:numRef>
          </c:val>
          <c:extLst>
            <c:ext xmlns:c16="http://schemas.microsoft.com/office/drawing/2014/chart" uri="{C3380CC4-5D6E-409C-BE32-E72D297353CC}">
              <c16:uniqueId val="{00000005-53C4-45B6-8B2C-7A22379085B5}"/>
            </c:ext>
          </c:extLst>
        </c:ser>
        <c:ser>
          <c:idx val="3"/>
          <c:order val="1"/>
          <c:tx>
            <c:strRef>
              <c:f>xRotulos!$E$1</c:f>
              <c:strCache>
                <c:ptCount val="1"/>
                <c:pt idx="0">
                  <c:v>Cycletime (em dias)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xRotulos!$A$2:$A$25</c:f>
              <c:strCache>
                <c:ptCount val="24"/>
                <c:pt idx="0">
                  <c:v>UX (7/18)</c:v>
                </c:pt>
                <c:pt idx="1">
                  <c:v>DEV (10/18)</c:v>
                </c:pt>
                <c:pt idx="2">
                  <c:v>GP (11/17)</c:v>
                </c:pt>
                <c:pt idx="3">
                  <c:v>NAO MAPEADO (5/15)</c:v>
                </c:pt>
                <c:pt idx="4">
                  <c:v>HU034 - REGISTRO E PUBLICAÇÃO (2/15)</c:v>
                </c:pt>
                <c:pt idx="5">
                  <c:v>SERVANT.LEADER (10/11)</c:v>
                </c:pt>
                <c:pt idx="6">
                  <c:v>FIGMA.PROTOTIPO (6/9)</c:v>
                </c:pt>
                <c:pt idx="7">
                  <c:v>REQUISITOS (7/7)</c:v>
                </c:pt>
                <c:pt idx="8">
                  <c:v>HU029- CONSTRUÇÃO UI/UX DESKTOP (4/5)</c:v>
                </c:pt>
                <c:pt idx="9">
                  <c:v>PO (4/5)</c:v>
                </c:pt>
                <c:pt idx="10">
                  <c:v>MOBILE (3/5)</c:v>
                </c:pt>
                <c:pt idx="11">
                  <c:v>DESKTOP (3/5)</c:v>
                </c:pt>
                <c:pt idx="12">
                  <c:v>HU030 - CONSTRUÇÃO UI/UX MOBILE (4/5)</c:v>
                </c:pt>
                <c:pt idx="13">
                  <c:v>FIGMA.PUBLICACAO (0/4)</c:v>
                </c:pt>
                <c:pt idx="14">
                  <c:v>HU031 - BENCHMARK DEV (4/4)</c:v>
                </c:pt>
                <c:pt idx="15">
                  <c:v>HU032 - CONSTRUÇÃO DEV (4/4)</c:v>
                </c:pt>
                <c:pt idx="16">
                  <c:v>HU033 - TESTES DEV (4/4)</c:v>
                </c:pt>
                <c:pt idx="17">
                  <c:v>FIGMA.CENTRALIZADOR (0/4)</c:v>
                </c:pt>
                <c:pt idx="18">
                  <c:v>DEV.TESTES (3/3)</c:v>
                </c:pt>
                <c:pt idx="19">
                  <c:v>DEV.REVISAO (1/3)</c:v>
                </c:pt>
                <c:pt idx="20">
                  <c:v>DEV.PUBLICACAO (0/3)</c:v>
                </c:pt>
                <c:pt idx="21">
                  <c:v>DEV.CONSTRUCAO (3/3)</c:v>
                </c:pt>
                <c:pt idx="22">
                  <c:v>DEV.BENCH (3/3)</c:v>
                </c:pt>
                <c:pt idx="23">
                  <c:v>PROJETOS TRANSVERSAIS (1/1)</c:v>
                </c:pt>
              </c:strCache>
            </c:strRef>
          </c:cat>
          <c:val>
            <c:numRef>
              <c:f>xRotulos!$E$2:$E$25</c:f>
              <c:numCache>
                <c:formatCode>General</c:formatCode>
                <c:ptCount val="24"/>
                <c:pt idx="0">
                  <c:v>15.14</c:v>
                </c:pt>
                <c:pt idx="1">
                  <c:v>5.0999999999999996</c:v>
                </c:pt>
                <c:pt idx="2">
                  <c:v>7.91</c:v>
                </c:pt>
                <c:pt idx="3">
                  <c:v>6.6</c:v>
                </c:pt>
                <c:pt idx="4">
                  <c:v>5</c:v>
                </c:pt>
                <c:pt idx="5">
                  <c:v>8.8000000000000007</c:v>
                </c:pt>
                <c:pt idx="6">
                  <c:v>14.67</c:v>
                </c:pt>
                <c:pt idx="7">
                  <c:v>10.29</c:v>
                </c:pt>
                <c:pt idx="8">
                  <c:v>13.25</c:v>
                </c:pt>
                <c:pt idx="9">
                  <c:v>8.5</c:v>
                </c:pt>
                <c:pt idx="10">
                  <c:v>14.67</c:v>
                </c:pt>
                <c:pt idx="11">
                  <c:v>14.67</c:v>
                </c:pt>
                <c:pt idx="12">
                  <c:v>13.25</c:v>
                </c:pt>
                <c:pt idx="13">
                  <c:v>0</c:v>
                </c:pt>
                <c:pt idx="14">
                  <c:v>4.75</c:v>
                </c:pt>
                <c:pt idx="15">
                  <c:v>9.5</c:v>
                </c:pt>
                <c:pt idx="16">
                  <c:v>5</c:v>
                </c:pt>
                <c:pt idx="17">
                  <c:v>0</c:v>
                </c:pt>
                <c:pt idx="18">
                  <c:v>3.67</c:v>
                </c:pt>
                <c:pt idx="19">
                  <c:v>1</c:v>
                </c:pt>
                <c:pt idx="20">
                  <c:v>0</c:v>
                </c:pt>
                <c:pt idx="21">
                  <c:v>9.67</c:v>
                </c:pt>
                <c:pt idx="22">
                  <c:v>3.33</c:v>
                </c:pt>
                <c:pt idx="23">
                  <c:v>0</c:v>
                </c:pt>
              </c:numCache>
            </c:numRef>
          </c:val>
          <c:extLst>
            <c:ext xmlns:c16="http://schemas.microsoft.com/office/drawing/2014/chart" uri="{C3380CC4-5D6E-409C-BE32-E72D297353CC}">
              <c16:uniqueId val="{00000007-53C4-45B6-8B2C-7A22379085B5}"/>
            </c:ext>
          </c:extLst>
        </c:ser>
        <c:dLbls>
          <c:showLegendKey val="0"/>
          <c:showVal val="0"/>
          <c:showCatName val="0"/>
          <c:showSerName val="0"/>
          <c:showPercent val="0"/>
          <c:showBubbleSize val="0"/>
        </c:dLbls>
        <c:gapWidth val="40"/>
        <c:overlap val="100"/>
        <c:axId val="1124577287"/>
        <c:axId val="1124579847"/>
      </c:barChart>
      <c:catAx>
        <c:axId val="1124577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579847"/>
        <c:crosses val="autoZero"/>
        <c:auto val="1"/>
        <c:lblAlgn val="ctr"/>
        <c:lblOffset val="100"/>
        <c:noMultiLvlLbl val="0"/>
      </c:catAx>
      <c:valAx>
        <c:axId val="11245798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245772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r>
              <a:rPr lang="en-US"/>
              <a:t>ENTREGAS POR COLABORADOR NA SPRINT</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endParaRPr lang="en-US"/>
        </a:p>
      </c:txPr>
    </c:title>
    <c:autoTitleDeleted val="0"/>
    <c:plotArea>
      <c:layout/>
      <c:barChart>
        <c:barDir val="bar"/>
        <c:grouping val="stacked"/>
        <c:varyColors val="0"/>
        <c:ser>
          <c:idx val="0"/>
          <c:order val="0"/>
          <c:tx>
            <c:strRef>
              <c:f>xResponsaveis!$B$1</c:f>
              <c:strCache>
                <c:ptCount val="1"/>
                <c:pt idx="0">
                  <c:v>Qtd. no Bucket Concluído</c:v>
                </c:pt>
              </c:strCache>
            </c:strRef>
          </c:tx>
          <c:spPr>
            <a:solidFill>
              <a:srgbClr val="548235"/>
            </a:solidFill>
            <a:ln>
              <a:noFill/>
            </a:ln>
            <a:effectLst/>
          </c:spPr>
          <c:invertIfNegative val="0"/>
          <c:cat>
            <c:strRef>
              <c:f>xResponsaveis!$A$2:$A$9</c:f>
              <c:strCache>
                <c:ptCount val="8"/>
                <c:pt idx="0">
                  <c:v>Kauan Barros (11/11)</c:v>
                </c:pt>
                <c:pt idx="1">
                  <c:v>Vagner Kunz Cabral (7/7)</c:v>
                </c:pt>
                <c:pt idx="2">
                  <c:v>Felipe da Silva Cordeiro (4/4)</c:v>
                </c:pt>
                <c:pt idx="3">
                  <c:v>Judson Martins Santana (4/4)</c:v>
                </c:pt>
                <c:pt idx="4">
                  <c:v>Kassiano Vieira Malaquias (4/4)</c:v>
                </c:pt>
                <c:pt idx="5">
                  <c:v>Pedro Augusto da Silva Cirqueira (4/4)</c:v>
                </c:pt>
                <c:pt idx="6">
                  <c:v>Renata da Silva Santos (4/4)</c:v>
                </c:pt>
                <c:pt idx="7">
                  <c:v>Otávio Francisco Batista Martins (2/2)</c:v>
                </c:pt>
              </c:strCache>
            </c:strRef>
          </c:cat>
          <c:val>
            <c:numRef>
              <c:f>xResponsaveis!$B$2:$B$9</c:f>
              <c:numCache>
                <c:formatCode>General</c:formatCode>
                <c:ptCount val="8"/>
                <c:pt idx="0">
                  <c:v>11</c:v>
                </c:pt>
                <c:pt idx="1">
                  <c:v>7</c:v>
                </c:pt>
                <c:pt idx="2">
                  <c:v>4</c:v>
                </c:pt>
                <c:pt idx="3">
                  <c:v>4</c:v>
                </c:pt>
                <c:pt idx="4">
                  <c:v>4</c:v>
                </c:pt>
                <c:pt idx="5">
                  <c:v>4</c:v>
                </c:pt>
                <c:pt idx="6">
                  <c:v>4</c:v>
                </c:pt>
                <c:pt idx="7">
                  <c:v>2</c:v>
                </c:pt>
              </c:numCache>
            </c:numRef>
          </c:val>
          <c:extLst>
            <c:ext xmlns:c16="http://schemas.microsoft.com/office/drawing/2014/chart" uri="{C3380CC4-5D6E-409C-BE32-E72D297353CC}">
              <c16:uniqueId val="{00000001-60DC-4DCD-BCF5-8F1DAC28B8AF}"/>
            </c:ext>
          </c:extLst>
        </c:ser>
        <c:ser>
          <c:idx val="1"/>
          <c:order val="1"/>
          <c:tx>
            <c:strRef>
              <c:f>xResponsaveis!$C$1</c:f>
              <c:strCache>
                <c:ptCount val="1"/>
                <c:pt idx="0">
                  <c:v>Qtd. Fora do Bucket Concluído</c:v>
                </c:pt>
              </c:strCache>
            </c:strRef>
          </c:tx>
          <c:spPr>
            <a:solidFill>
              <a:srgbClr val="A9D08E"/>
            </a:solidFill>
            <a:ln>
              <a:noFill/>
            </a:ln>
            <a:effectLst/>
          </c:spPr>
          <c:invertIfNegative val="0"/>
          <c:cat>
            <c:strRef>
              <c:f>xResponsaveis!$A$2:$A$9</c:f>
              <c:strCache>
                <c:ptCount val="8"/>
                <c:pt idx="0">
                  <c:v>Kauan Barros (11/11)</c:v>
                </c:pt>
                <c:pt idx="1">
                  <c:v>Vagner Kunz Cabral (7/7)</c:v>
                </c:pt>
                <c:pt idx="2">
                  <c:v>Felipe da Silva Cordeiro (4/4)</c:v>
                </c:pt>
                <c:pt idx="3">
                  <c:v>Judson Martins Santana (4/4)</c:v>
                </c:pt>
                <c:pt idx="4">
                  <c:v>Kassiano Vieira Malaquias (4/4)</c:v>
                </c:pt>
                <c:pt idx="5">
                  <c:v>Pedro Augusto da Silva Cirqueira (4/4)</c:v>
                </c:pt>
                <c:pt idx="6">
                  <c:v>Renata da Silva Santos (4/4)</c:v>
                </c:pt>
                <c:pt idx="7">
                  <c:v>Otávio Francisco Batista Martins (2/2)</c:v>
                </c:pt>
              </c:strCache>
            </c:strRef>
          </c:cat>
          <c:val>
            <c:numRef>
              <c:f>xResponsaveis!$C$2:$C$9</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3-60DC-4DCD-BCF5-8F1DAC28B8AF}"/>
            </c:ext>
          </c:extLst>
        </c:ser>
        <c:dLbls>
          <c:showLegendKey val="0"/>
          <c:showVal val="0"/>
          <c:showCatName val="0"/>
          <c:showSerName val="0"/>
          <c:showPercent val="0"/>
          <c:showBubbleSize val="0"/>
        </c:dLbls>
        <c:gapWidth val="150"/>
        <c:overlap val="100"/>
        <c:axId val="1124577287"/>
        <c:axId val="1124579847"/>
      </c:barChart>
      <c:catAx>
        <c:axId val="1124577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24579847"/>
        <c:crosses val="autoZero"/>
        <c:auto val="1"/>
        <c:lblAlgn val="ctr"/>
        <c:lblOffset val="100"/>
        <c:noMultiLvlLbl val="0"/>
      </c:catAx>
      <c:valAx>
        <c:axId val="11245798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245772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r>
              <a:rPr lang="en-US"/>
              <a:t>THROUGHPUT (qtd. tarefas concluídas por HU na sprint)</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endParaRPr lang="en-US"/>
        </a:p>
      </c:txPr>
    </c:title>
    <c:autoTitleDeleted val="0"/>
    <c:plotArea>
      <c:layout/>
      <c:scatterChart>
        <c:scatterStyle val="lineMarker"/>
        <c:varyColors val="0"/>
        <c:ser>
          <c:idx val="0"/>
          <c:order val="0"/>
          <c:tx>
            <c:strRef>
              <c:f>xDispersaoTarefas!$A$2</c:f>
              <c:strCache>
                <c:ptCount val="1"/>
                <c:pt idx="0">
                  <c:v>HU029- Construção Desktop</c:v>
                </c:pt>
              </c:strCache>
            </c:strRef>
          </c:tx>
          <c:spPr>
            <a:ln w="25400" cap="rnd">
              <a:noFill/>
              <a:round/>
            </a:ln>
            <a:effectLst/>
          </c:spPr>
          <c:marker>
            <c:symbol val="circle"/>
            <c:size val="5"/>
            <c:spPr>
              <a:solidFill>
                <a:srgbClr val="637CEF"/>
              </a:solidFill>
              <a:ln w="9525">
                <a:solidFill>
                  <a:srgbClr val="637CEF"/>
                </a:solidFill>
              </a:ln>
              <a:effectLst/>
            </c:spPr>
          </c:marker>
          <c:xVal>
            <c:numRef>
              <c:f>xDispersaoTarefas!$B$1:$AB$1</c:f>
              <c:numCache>
                <c:formatCode>General</c:formatCode>
                <c:ptCount val="27"/>
                <c:pt idx="0">
                  <c:v>1</c:v>
                </c:pt>
                <c:pt idx="1">
                  <c:v>5</c:v>
                </c:pt>
                <c:pt idx="2">
                  <c:v>6</c:v>
                </c:pt>
                <c:pt idx="3">
                  <c:v>9</c:v>
                </c:pt>
                <c:pt idx="4">
                  <c:v>9.8000000000000007</c:v>
                </c:pt>
                <c:pt idx="5">
                  <c:v>10.199999999999999</c:v>
                </c:pt>
                <c:pt idx="6">
                  <c:v>13</c:v>
                </c:pt>
                <c:pt idx="7">
                  <c:v>15.8</c:v>
                </c:pt>
                <c:pt idx="8">
                  <c:v>16</c:v>
                </c:pt>
                <c:pt idx="9">
                  <c:v>17</c:v>
                </c:pt>
                <c:pt idx="10">
                  <c:v>17.8</c:v>
                </c:pt>
                <c:pt idx="11">
                  <c:v>18.2</c:v>
                </c:pt>
                <c:pt idx="12">
                  <c:v>19</c:v>
                </c:pt>
                <c:pt idx="13">
                  <c:v>20</c:v>
                </c:pt>
                <c:pt idx="14">
                  <c:v>22.8</c:v>
                </c:pt>
                <c:pt idx="15">
                  <c:v>23</c:v>
                </c:pt>
                <c:pt idx="16">
                  <c:v>23.2</c:v>
                </c:pt>
                <c:pt idx="17">
                  <c:v>25</c:v>
                </c:pt>
              </c:numCache>
            </c:numRef>
          </c:xVal>
          <c:yVal>
            <c:numRef>
              <c:f>xDispersaoTarefas!$B$2:$AB$2</c:f>
              <c:numCache>
                <c:formatCode>General</c:formatCode>
                <c:ptCount val="27"/>
                <c:pt idx="4">
                  <c:v>0.8</c:v>
                </c:pt>
                <c:pt idx="7">
                  <c:v>1.8</c:v>
                </c:pt>
                <c:pt idx="11">
                  <c:v>0.8</c:v>
                </c:pt>
                <c:pt idx="14">
                  <c:v>0.8</c:v>
                </c:pt>
              </c:numCache>
            </c:numRef>
          </c:yVal>
          <c:smooth val="0"/>
          <c:extLst>
            <c:ext xmlns:c16="http://schemas.microsoft.com/office/drawing/2014/chart" uri="{C3380CC4-5D6E-409C-BE32-E72D297353CC}">
              <c16:uniqueId val="{00000001-1EB3-43F9-8855-C791FD77C128}"/>
            </c:ext>
          </c:extLst>
        </c:ser>
        <c:ser>
          <c:idx val="1"/>
          <c:order val="1"/>
          <c:tx>
            <c:strRef>
              <c:f>xDispersaoTarefas!$A$3</c:f>
              <c:strCache>
                <c:ptCount val="1"/>
                <c:pt idx="0">
                  <c:v>HU030 - Construção Mobile</c:v>
                </c:pt>
              </c:strCache>
            </c:strRef>
          </c:tx>
          <c:spPr>
            <a:ln w="25400" cap="rnd">
              <a:noFill/>
              <a:round/>
            </a:ln>
            <a:effectLst/>
          </c:spPr>
          <c:marker>
            <c:symbol val="circle"/>
            <c:size val="5"/>
            <c:spPr>
              <a:solidFill>
                <a:srgbClr val="E3008C"/>
              </a:solidFill>
              <a:ln w="9525">
                <a:solidFill>
                  <a:srgbClr val="E3008C"/>
                </a:solidFill>
              </a:ln>
              <a:effectLst/>
            </c:spPr>
          </c:marker>
          <c:xVal>
            <c:numRef>
              <c:f>xDispersaoTarefas!$B$1:$AB$1</c:f>
              <c:numCache>
                <c:formatCode>General</c:formatCode>
                <c:ptCount val="27"/>
                <c:pt idx="0">
                  <c:v>1</c:v>
                </c:pt>
                <c:pt idx="1">
                  <c:v>5</c:v>
                </c:pt>
                <c:pt idx="2">
                  <c:v>6</c:v>
                </c:pt>
                <c:pt idx="3">
                  <c:v>9</c:v>
                </c:pt>
                <c:pt idx="4">
                  <c:v>9.8000000000000007</c:v>
                </c:pt>
                <c:pt idx="5">
                  <c:v>10.199999999999999</c:v>
                </c:pt>
                <c:pt idx="6">
                  <c:v>13</c:v>
                </c:pt>
                <c:pt idx="7">
                  <c:v>15.8</c:v>
                </c:pt>
                <c:pt idx="8">
                  <c:v>16</c:v>
                </c:pt>
                <c:pt idx="9">
                  <c:v>17</c:v>
                </c:pt>
                <c:pt idx="10">
                  <c:v>17.8</c:v>
                </c:pt>
                <c:pt idx="11">
                  <c:v>18.2</c:v>
                </c:pt>
                <c:pt idx="12">
                  <c:v>19</c:v>
                </c:pt>
                <c:pt idx="13">
                  <c:v>20</c:v>
                </c:pt>
                <c:pt idx="14">
                  <c:v>22.8</c:v>
                </c:pt>
                <c:pt idx="15">
                  <c:v>23</c:v>
                </c:pt>
                <c:pt idx="16">
                  <c:v>23.2</c:v>
                </c:pt>
                <c:pt idx="17">
                  <c:v>25</c:v>
                </c:pt>
              </c:numCache>
            </c:numRef>
          </c:xVal>
          <c:yVal>
            <c:numRef>
              <c:f>xDispersaoTarefas!$B$3:$AB$3</c:f>
              <c:numCache>
                <c:formatCode>General</c:formatCode>
                <c:ptCount val="27"/>
                <c:pt idx="4">
                  <c:v>1.2</c:v>
                </c:pt>
                <c:pt idx="7">
                  <c:v>2.2000000000000002</c:v>
                </c:pt>
                <c:pt idx="11">
                  <c:v>1.2</c:v>
                </c:pt>
                <c:pt idx="14">
                  <c:v>1.2</c:v>
                </c:pt>
              </c:numCache>
            </c:numRef>
          </c:yVal>
          <c:smooth val="0"/>
          <c:extLst>
            <c:ext xmlns:c16="http://schemas.microsoft.com/office/drawing/2014/chart" uri="{C3380CC4-5D6E-409C-BE32-E72D297353CC}">
              <c16:uniqueId val="{00000003-1EB3-43F9-8855-C791FD77C128}"/>
            </c:ext>
          </c:extLst>
        </c:ser>
        <c:ser>
          <c:idx val="2"/>
          <c:order val="2"/>
          <c:tx>
            <c:strRef>
              <c:f>xDispersaoTarefas!$A$4</c:f>
              <c:strCache>
                <c:ptCount val="1"/>
                <c:pt idx="0">
                  <c:v>HU031 - Benchmark DEV</c:v>
                </c:pt>
              </c:strCache>
            </c:strRef>
          </c:tx>
          <c:spPr>
            <a:ln w="25400" cap="rnd">
              <a:noFill/>
              <a:round/>
            </a:ln>
            <a:effectLst/>
          </c:spPr>
          <c:marker>
            <c:symbol val="circle"/>
            <c:size val="5"/>
            <c:spPr>
              <a:solidFill>
                <a:srgbClr val="2AA0A4"/>
              </a:solidFill>
              <a:ln w="9525">
                <a:solidFill>
                  <a:srgbClr val="2AA0A4"/>
                </a:solidFill>
              </a:ln>
              <a:effectLst/>
            </c:spPr>
          </c:marker>
          <c:xVal>
            <c:numRef>
              <c:f>xDispersaoTarefas!$B$1:$AB$1</c:f>
              <c:numCache>
                <c:formatCode>General</c:formatCode>
                <c:ptCount val="27"/>
                <c:pt idx="0">
                  <c:v>1</c:v>
                </c:pt>
                <c:pt idx="1">
                  <c:v>5</c:v>
                </c:pt>
                <c:pt idx="2">
                  <c:v>6</c:v>
                </c:pt>
                <c:pt idx="3">
                  <c:v>9</c:v>
                </c:pt>
                <c:pt idx="4">
                  <c:v>9.8000000000000007</c:v>
                </c:pt>
                <c:pt idx="5">
                  <c:v>10.199999999999999</c:v>
                </c:pt>
                <c:pt idx="6">
                  <c:v>13</c:v>
                </c:pt>
                <c:pt idx="7">
                  <c:v>15.8</c:v>
                </c:pt>
                <c:pt idx="8">
                  <c:v>16</c:v>
                </c:pt>
                <c:pt idx="9">
                  <c:v>17</c:v>
                </c:pt>
                <c:pt idx="10">
                  <c:v>17.8</c:v>
                </c:pt>
                <c:pt idx="11">
                  <c:v>18.2</c:v>
                </c:pt>
                <c:pt idx="12">
                  <c:v>19</c:v>
                </c:pt>
                <c:pt idx="13">
                  <c:v>20</c:v>
                </c:pt>
                <c:pt idx="14">
                  <c:v>22.8</c:v>
                </c:pt>
                <c:pt idx="15">
                  <c:v>23</c:v>
                </c:pt>
                <c:pt idx="16">
                  <c:v>23.2</c:v>
                </c:pt>
                <c:pt idx="17">
                  <c:v>25</c:v>
                </c:pt>
              </c:numCache>
            </c:numRef>
          </c:xVal>
          <c:yVal>
            <c:numRef>
              <c:f>xDispersaoTarefas!$B$4:$AB$4</c:f>
              <c:numCache>
                <c:formatCode>General</c:formatCode>
                <c:ptCount val="27"/>
                <c:pt idx="1">
                  <c:v>2</c:v>
                </c:pt>
                <c:pt idx="2">
                  <c:v>1</c:v>
                </c:pt>
                <c:pt idx="5">
                  <c:v>0.8</c:v>
                </c:pt>
              </c:numCache>
            </c:numRef>
          </c:yVal>
          <c:smooth val="0"/>
          <c:extLst>
            <c:ext xmlns:c16="http://schemas.microsoft.com/office/drawing/2014/chart" uri="{C3380CC4-5D6E-409C-BE32-E72D297353CC}">
              <c16:uniqueId val="{00000005-1EB3-43F9-8855-C791FD77C128}"/>
            </c:ext>
          </c:extLst>
        </c:ser>
        <c:ser>
          <c:idx val="3"/>
          <c:order val="3"/>
          <c:tx>
            <c:strRef>
              <c:f>xDispersaoTarefas!$A$5</c:f>
              <c:strCache>
                <c:ptCount val="1"/>
                <c:pt idx="0">
                  <c:v>HU032 - Construção DEV</c:v>
                </c:pt>
              </c:strCache>
            </c:strRef>
          </c:tx>
          <c:spPr>
            <a:ln w="25400" cap="rnd">
              <a:noFill/>
              <a:round/>
            </a:ln>
            <a:effectLst/>
          </c:spPr>
          <c:marker>
            <c:symbol val="circle"/>
            <c:size val="5"/>
            <c:spPr>
              <a:solidFill>
                <a:srgbClr val="9373C0"/>
              </a:solidFill>
              <a:ln w="9525">
                <a:solidFill>
                  <a:srgbClr val="9373C0"/>
                </a:solidFill>
              </a:ln>
              <a:effectLst/>
            </c:spPr>
          </c:marker>
          <c:xVal>
            <c:numRef>
              <c:f>xDispersaoTarefas!$B$1:$AB$1</c:f>
              <c:numCache>
                <c:formatCode>General</c:formatCode>
                <c:ptCount val="27"/>
                <c:pt idx="0">
                  <c:v>1</c:v>
                </c:pt>
                <c:pt idx="1">
                  <c:v>5</c:v>
                </c:pt>
                <c:pt idx="2">
                  <c:v>6</c:v>
                </c:pt>
                <c:pt idx="3">
                  <c:v>9</c:v>
                </c:pt>
                <c:pt idx="4">
                  <c:v>9.8000000000000007</c:v>
                </c:pt>
                <c:pt idx="5">
                  <c:v>10.199999999999999</c:v>
                </c:pt>
                <c:pt idx="6">
                  <c:v>13</c:v>
                </c:pt>
                <c:pt idx="7">
                  <c:v>15.8</c:v>
                </c:pt>
                <c:pt idx="8">
                  <c:v>16</c:v>
                </c:pt>
                <c:pt idx="9">
                  <c:v>17</c:v>
                </c:pt>
                <c:pt idx="10">
                  <c:v>17.8</c:v>
                </c:pt>
                <c:pt idx="11">
                  <c:v>18.2</c:v>
                </c:pt>
                <c:pt idx="12">
                  <c:v>19</c:v>
                </c:pt>
                <c:pt idx="13">
                  <c:v>20</c:v>
                </c:pt>
                <c:pt idx="14">
                  <c:v>22.8</c:v>
                </c:pt>
                <c:pt idx="15">
                  <c:v>23</c:v>
                </c:pt>
                <c:pt idx="16">
                  <c:v>23.2</c:v>
                </c:pt>
                <c:pt idx="17">
                  <c:v>25</c:v>
                </c:pt>
              </c:numCache>
            </c:numRef>
          </c:xVal>
          <c:yVal>
            <c:numRef>
              <c:f>xDispersaoTarefas!$B$5:$AB$5</c:f>
              <c:numCache>
                <c:formatCode>General</c:formatCode>
                <c:ptCount val="27"/>
                <c:pt idx="5">
                  <c:v>1.2</c:v>
                </c:pt>
                <c:pt idx="6">
                  <c:v>2</c:v>
                </c:pt>
                <c:pt idx="8">
                  <c:v>1</c:v>
                </c:pt>
              </c:numCache>
            </c:numRef>
          </c:yVal>
          <c:smooth val="0"/>
          <c:extLst>
            <c:ext xmlns:c16="http://schemas.microsoft.com/office/drawing/2014/chart" uri="{C3380CC4-5D6E-409C-BE32-E72D297353CC}">
              <c16:uniqueId val="{00000007-1EB3-43F9-8855-C791FD77C128}"/>
            </c:ext>
          </c:extLst>
        </c:ser>
        <c:ser>
          <c:idx val="4"/>
          <c:order val="4"/>
          <c:tx>
            <c:strRef>
              <c:f>xDispersaoTarefas!$A$6</c:f>
              <c:strCache>
                <c:ptCount val="1"/>
                <c:pt idx="0">
                  <c:v>HU033 - Testes DEV</c:v>
                </c:pt>
              </c:strCache>
            </c:strRef>
          </c:tx>
          <c:spPr>
            <a:ln w="25400" cap="rnd">
              <a:noFill/>
              <a:round/>
            </a:ln>
            <a:effectLst/>
          </c:spPr>
          <c:marker>
            <c:symbol val="circle"/>
            <c:size val="5"/>
            <c:spPr>
              <a:solidFill>
                <a:srgbClr val="13A10E"/>
              </a:solidFill>
              <a:ln w="9525">
                <a:solidFill>
                  <a:srgbClr val="13A10E"/>
                </a:solidFill>
              </a:ln>
              <a:effectLst/>
            </c:spPr>
          </c:marker>
          <c:xVal>
            <c:numRef>
              <c:f>xDispersaoTarefas!$B$1:$AB$1</c:f>
              <c:numCache>
                <c:formatCode>General</c:formatCode>
                <c:ptCount val="27"/>
                <c:pt idx="0">
                  <c:v>1</c:v>
                </c:pt>
                <c:pt idx="1">
                  <c:v>5</c:v>
                </c:pt>
                <c:pt idx="2">
                  <c:v>6</c:v>
                </c:pt>
                <c:pt idx="3">
                  <c:v>9</c:v>
                </c:pt>
                <c:pt idx="4">
                  <c:v>9.8000000000000007</c:v>
                </c:pt>
                <c:pt idx="5">
                  <c:v>10.199999999999999</c:v>
                </c:pt>
                <c:pt idx="6">
                  <c:v>13</c:v>
                </c:pt>
                <c:pt idx="7">
                  <c:v>15.8</c:v>
                </c:pt>
                <c:pt idx="8">
                  <c:v>16</c:v>
                </c:pt>
                <c:pt idx="9">
                  <c:v>17</c:v>
                </c:pt>
                <c:pt idx="10">
                  <c:v>17.8</c:v>
                </c:pt>
                <c:pt idx="11">
                  <c:v>18.2</c:v>
                </c:pt>
                <c:pt idx="12">
                  <c:v>19</c:v>
                </c:pt>
                <c:pt idx="13">
                  <c:v>20</c:v>
                </c:pt>
                <c:pt idx="14">
                  <c:v>22.8</c:v>
                </c:pt>
                <c:pt idx="15">
                  <c:v>23</c:v>
                </c:pt>
                <c:pt idx="16">
                  <c:v>23.2</c:v>
                </c:pt>
                <c:pt idx="17">
                  <c:v>25</c:v>
                </c:pt>
              </c:numCache>
            </c:numRef>
          </c:xVal>
          <c:yVal>
            <c:numRef>
              <c:f>xDispersaoTarefas!$B$6:$AB$6</c:f>
              <c:numCache>
                <c:formatCode>General</c:formatCode>
                <c:ptCount val="27"/>
                <c:pt idx="4">
                  <c:v>0.8</c:v>
                </c:pt>
                <c:pt idx="9">
                  <c:v>3</c:v>
                </c:pt>
              </c:numCache>
            </c:numRef>
          </c:yVal>
          <c:smooth val="0"/>
          <c:extLst>
            <c:ext xmlns:c16="http://schemas.microsoft.com/office/drawing/2014/chart" uri="{C3380CC4-5D6E-409C-BE32-E72D297353CC}">
              <c16:uniqueId val="{00000009-1EB3-43F9-8855-C791FD77C128}"/>
            </c:ext>
          </c:extLst>
        </c:ser>
        <c:ser>
          <c:idx val="5"/>
          <c:order val="5"/>
          <c:tx>
            <c:strRef>
              <c:f>xDispersaoTarefas!$A$7</c:f>
              <c:strCache>
                <c:ptCount val="1"/>
                <c:pt idx="0">
                  <c:v>HU034 - Registro e Publicação</c:v>
                </c:pt>
              </c:strCache>
            </c:strRef>
          </c:tx>
          <c:spPr>
            <a:ln w="25400" cap="rnd">
              <a:noFill/>
              <a:round/>
            </a:ln>
            <a:effectLst/>
          </c:spPr>
          <c:marker>
            <c:symbol val="circle"/>
            <c:size val="5"/>
            <c:spPr>
              <a:solidFill>
                <a:srgbClr val="3A96DD"/>
              </a:solidFill>
              <a:ln w="9525">
                <a:solidFill>
                  <a:srgbClr val="3A96DD"/>
                </a:solidFill>
              </a:ln>
              <a:effectLst/>
            </c:spPr>
          </c:marker>
          <c:xVal>
            <c:numRef>
              <c:f>xDispersaoTarefas!$B$1:$AB$1</c:f>
              <c:numCache>
                <c:formatCode>General</c:formatCode>
                <c:ptCount val="27"/>
                <c:pt idx="0">
                  <c:v>1</c:v>
                </c:pt>
                <c:pt idx="1">
                  <c:v>5</c:v>
                </c:pt>
                <c:pt idx="2">
                  <c:v>6</c:v>
                </c:pt>
                <c:pt idx="3">
                  <c:v>9</c:v>
                </c:pt>
                <c:pt idx="4">
                  <c:v>9.8000000000000007</c:v>
                </c:pt>
                <c:pt idx="5">
                  <c:v>10.199999999999999</c:v>
                </c:pt>
                <c:pt idx="6">
                  <c:v>13</c:v>
                </c:pt>
                <c:pt idx="7">
                  <c:v>15.8</c:v>
                </c:pt>
                <c:pt idx="8">
                  <c:v>16</c:v>
                </c:pt>
                <c:pt idx="9">
                  <c:v>17</c:v>
                </c:pt>
                <c:pt idx="10">
                  <c:v>17.8</c:v>
                </c:pt>
                <c:pt idx="11">
                  <c:v>18.2</c:v>
                </c:pt>
                <c:pt idx="12">
                  <c:v>19</c:v>
                </c:pt>
                <c:pt idx="13">
                  <c:v>20</c:v>
                </c:pt>
                <c:pt idx="14">
                  <c:v>22.8</c:v>
                </c:pt>
                <c:pt idx="15">
                  <c:v>23</c:v>
                </c:pt>
                <c:pt idx="16">
                  <c:v>23.2</c:v>
                </c:pt>
                <c:pt idx="17">
                  <c:v>25</c:v>
                </c:pt>
              </c:numCache>
            </c:numRef>
          </c:xVal>
          <c:yVal>
            <c:numRef>
              <c:f>xDispersaoTarefas!$B$7:$AB$7</c:f>
              <c:numCache>
                <c:formatCode>General</c:formatCode>
                <c:ptCount val="27"/>
                <c:pt idx="4">
                  <c:v>1.2</c:v>
                </c:pt>
                <c:pt idx="9">
                  <c:v>2</c:v>
                </c:pt>
                <c:pt idx="11">
                  <c:v>0.8</c:v>
                </c:pt>
                <c:pt idx="13">
                  <c:v>1</c:v>
                </c:pt>
                <c:pt idx="15">
                  <c:v>3</c:v>
                </c:pt>
                <c:pt idx="17">
                  <c:v>7</c:v>
                </c:pt>
              </c:numCache>
            </c:numRef>
          </c:yVal>
          <c:smooth val="0"/>
          <c:extLst>
            <c:ext xmlns:c16="http://schemas.microsoft.com/office/drawing/2014/chart" uri="{C3380CC4-5D6E-409C-BE32-E72D297353CC}">
              <c16:uniqueId val="{0000000B-1EB3-43F9-8855-C791FD77C128}"/>
            </c:ext>
          </c:extLst>
        </c:ser>
        <c:dLbls>
          <c:showLegendKey val="0"/>
          <c:showVal val="0"/>
          <c:showCatName val="0"/>
          <c:showSerName val="0"/>
          <c:showPercent val="0"/>
          <c:showBubbleSize val="0"/>
        </c:dLbls>
        <c:axId val="847459336"/>
        <c:axId val="847479304"/>
      </c:scatterChart>
      <c:valAx>
        <c:axId val="847459336"/>
        <c:scaling>
          <c:orientation val="minMax"/>
          <c:max val="3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Dias do mês da sprint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47479304"/>
        <c:crosses val="autoZero"/>
        <c:crossBetween val="midCat"/>
        <c:majorUnit val="1"/>
        <c:minorUnit val="0.1"/>
      </c:valAx>
      <c:valAx>
        <c:axId val="847479304"/>
        <c:scaling>
          <c:orientation val="minMax"/>
          <c:max val="1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Storypoints na HU (proporção com base em atividades)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47459336"/>
        <c:crosses val="autoZero"/>
        <c:crossBetween val="midCat"/>
        <c:majorUnit val="1"/>
        <c:minorUnit val="1"/>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r>
              <a:rPr lang="en-US"/>
              <a:t>BURNDOWN DA SPRINT (por HU)</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endParaRPr lang="en-US"/>
        </a:p>
      </c:txPr>
    </c:title>
    <c:autoTitleDeleted val="0"/>
    <c:plotArea>
      <c:layout/>
      <c:lineChart>
        <c:grouping val="standard"/>
        <c:varyColors val="0"/>
        <c:ser>
          <c:idx val="0"/>
          <c:order val="0"/>
          <c:tx>
            <c:strRef>
              <c:f>xBurndownHU!$B$1</c:f>
              <c:strCache>
                <c:ptCount val="1"/>
                <c:pt idx="0">
                  <c:v>Meta (Linear)</c:v>
                </c:pt>
              </c:strCache>
            </c:strRef>
          </c:tx>
          <c:spPr>
            <a:ln w="28575" cap="flat" cmpd="sng" algn="ctr">
              <a:solidFill>
                <a:srgbClr val="808080"/>
              </a:solidFill>
              <a:prstDash val="sysDash"/>
              <a:round/>
              <a:headEnd type="none" w="med" len="med"/>
              <a:tailEnd type="none" w="med" len="med"/>
            </a:ln>
            <a:effectLst/>
          </c:spPr>
          <c:marker>
            <c:symbol val="none"/>
          </c:marker>
          <c:cat>
            <c:numRef>
              <c:f>xBurndownHU!$A$2:$A$32</c:f>
              <c:numCache>
                <c:formatCode>m/d/yyyy</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xBurndownHU!$B$2:$B$32</c:f>
              <c:numCache>
                <c:formatCode>General</c:formatCode>
                <c:ptCount val="31"/>
                <c:pt idx="0">
                  <c:v>37</c:v>
                </c:pt>
                <c:pt idx="1">
                  <c:v>36</c:v>
                </c:pt>
                <c:pt idx="2">
                  <c:v>35</c:v>
                </c:pt>
                <c:pt idx="3">
                  <c:v>33</c:v>
                </c:pt>
                <c:pt idx="4">
                  <c:v>32</c:v>
                </c:pt>
                <c:pt idx="5">
                  <c:v>31</c:v>
                </c:pt>
                <c:pt idx="6">
                  <c:v>30</c:v>
                </c:pt>
                <c:pt idx="7">
                  <c:v>28</c:v>
                </c:pt>
                <c:pt idx="8">
                  <c:v>27</c:v>
                </c:pt>
                <c:pt idx="9">
                  <c:v>26</c:v>
                </c:pt>
                <c:pt idx="10">
                  <c:v>25</c:v>
                </c:pt>
                <c:pt idx="11">
                  <c:v>23</c:v>
                </c:pt>
                <c:pt idx="12">
                  <c:v>22</c:v>
                </c:pt>
                <c:pt idx="13">
                  <c:v>21</c:v>
                </c:pt>
                <c:pt idx="14">
                  <c:v>20</c:v>
                </c:pt>
                <c:pt idx="15">
                  <c:v>18</c:v>
                </c:pt>
                <c:pt idx="16">
                  <c:v>17</c:v>
                </c:pt>
                <c:pt idx="17">
                  <c:v>16</c:v>
                </c:pt>
                <c:pt idx="18">
                  <c:v>15</c:v>
                </c:pt>
                <c:pt idx="19">
                  <c:v>14</c:v>
                </c:pt>
                <c:pt idx="20">
                  <c:v>12</c:v>
                </c:pt>
                <c:pt idx="21">
                  <c:v>11</c:v>
                </c:pt>
                <c:pt idx="22">
                  <c:v>10</c:v>
                </c:pt>
                <c:pt idx="23">
                  <c:v>9</c:v>
                </c:pt>
                <c:pt idx="24">
                  <c:v>7</c:v>
                </c:pt>
                <c:pt idx="25">
                  <c:v>6</c:v>
                </c:pt>
                <c:pt idx="26">
                  <c:v>5</c:v>
                </c:pt>
                <c:pt idx="27">
                  <c:v>4</c:v>
                </c:pt>
                <c:pt idx="28">
                  <c:v>2</c:v>
                </c:pt>
                <c:pt idx="29">
                  <c:v>1</c:v>
                </c:pt>
                <c:pt idx="30">
                  <c:v>0</c:v>
                </c:pt>
              </c:numCache>
            </c:numRef>
          </c:val>
          <c:smooth val="0"/>
          <c:extLst>
            <c:ext xmlns:c16="http://schemas.microsoft.com/office/drawing/2014/chart" uri="{C3380CC4-5D6E-409C-BE32-E72D297353CC}">
              <c16:uniqueId val="{00000001-6970-45D5-865A-920022E11E27}"/>
            </c:ext>
          </c:extLst>
        </c:ser>
        <c:ser>
          <c:idx val="1"/>
          <c:order val="1"/>
          <c:tx>
            <c:strRef>
              <c:f>xBurndownHU!$C$1</c:f>
              <c:strCache>
                <c:ptCount val="1"/>
                <c:pt idx="0">
                  <c:v>Planejado</c:v>
                </c:pt>
              </c:strCache>
            </c:strRef>
          </c:tx>
          <c:spPr>
            <a:ln w="38100" cap="rnd">
              <a:solidFill>
                <a:srgbClr val="9BC2E6"/>
              </a:solidFill>
              <a:prstDash val="solid"/>
              <a:round/>
            </a:ln>
            <a:effectLst/>
          </c:spPr>
          <c:marker>
            <c:symbol val="none"/>
          </c:marker>
          <c:cat>
            <c:numRef>
              <c:f>xBurndownHU!$A$2:$A$32</c:f>
              <c:numCache>
                <c:formatCode>m/d/yyyy</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xBurndownHU!$C$2:$C$32</c:f>
              <c:numCache>
                <c:formatCode>General</c:formatCode>
                <c:ptCount val="31"/>
                <c:pt idx="0">
                  <c:v>37</c:v>
                </c:pt>
                <c:pt idx="1">
                  <c:v>37</c:v>
                </c:pt>
                <c:pt idx="2">
                  <c:v>37</c:v>
                </c:pt>
                <c:pt idx="3">
                  <c:v>37</c:v>
                </c:pt>
                <c:pt idx="4">
                  <c:v>37</c:v>
                </c:pt>
                <c:pt idx="5">
                  <c:v>37</c:v>
                </c:pt>
                <c:pt idx="6">
                  <c:v>30</c:v>
                </c:pt>
                <c:pt idx="7">
                  <c:v>30</c:v>
                </c:pt>
                <c:pt idx="8">
                  <c:v>30</c:v>
                </c:pt>
                <c:pt idx="9">
                  <c:v>30</c:v>
                </c:pt>
                <c:pt idx="10">
                  <c:v>30</c:v>
                </c:pt>
                <c:pt idx="11">
                  <c:v>30</c:v>
                </c:pt>
                <c:pt idx="12">
                  <c:v>22</c:v>
                </c:pt>
                <c:pt idx="13">
                  <c:v>22</c:v>
                </c:pt>
                <c:pt idx="14">
                  <c:v>22</c:v>
                </c:pt>
                <c:pt idx="15">
                  <c:v>22</c:v>
                </c:pt>
                <c:pt idx="16">
                  <c:v>22</c:v>
                </c:pt>
                <c:pt idx="17">
                  <c:v>22</c:v>
                </c:pt>
                <c:pt idx="18">
                  <c:v>15</c:v>
                </c:pt>
                <c:pt idx="19">
                  <c:v>15</c:v>
                </c:pt>
                <c:pt idx="20">
                  <c:v>15</c:v>
                </c:pt>
                <c:pt idx="21">
                  <c:v>15</c:v>
                </c:pt>
                <c:pt idx="22">
                  <c:v>15</c:v>
                </c:pt>
                <c:pt idx="23">
                  <c:v>15</c:v>
                </c:pt>
                <c:pt idx="24">
                  <c:v>7</c:v>
                </c:pt>
                <c:pt idx="25">
                  <c:v>7</c:v>
                </c:pt>
                <c:pt idx="26">
                  <c:v>7</c:v>
                </c:pt>
                <c:pt idx="27">
                  <c:v>7</c:v>
                </c:pt>
                <c:pt idx="28">
                  <c:v>7</c:v>
                </c:pt>
                <c:pt idx="29">
                  <c:v>7</c:v>
                </c:pt>
                <c:pt idx="30">
                  <c:v>0</c:v>
                </c:pt>
              </c:numCache>
            </c:numRef>
          </c:val>
          <c:smooth val="0"/>
          <c:extLst>
            <c:ext xmlns:c16="http://schemas.microsoft.com/office/drawing/2014/chart" uri="{C3380CC4-5D6E-409C-BE32-E72D297353CC}">
              <c16:uniqueId val="{00000003-6970-45D5-865A-920022E11E27}"/>
            </c:ext>
          </c:extLst>
        </c:ser>
        <c:ser>
          <c:idx val="2"/>
          <c:order val="2"/>
          <c:tx>
            <c:strRef>
              <c:f>xBurndownHU!$D$1</c:f>
              <c:strCache>
                <c:ptCount val="1"/>
                <c:pt idx="0">
                  <c:v>A Realizar</c:v>
                </c:pt>
              </c:strCache>
            </c:strRef>
          </c:tx>
          <c:spPr>
            <a:ln w="28575" cap="rnd">
              <a:solidFill>
                <a:srgbClr val="ED7D31"/>
              </a:solidFill>
              <a:prstDash val="solid"/>
              <a:round/>
            </a:ln>
            <a:effectLst/>
          </c:spPr>
          <c:marker>
            <c:symbol val="circle"/>
            <c:size val="5"/>
            <c:spPr>
              <a:solidFill>
                <a:schemeClr val="accent3"/>
              </a:solidFill>
              <a:ln w="9525">
                <a:solidFill>
                  <a:srgbClr val="000000"/>
                </a:solidFill>
                <a:prstDash val="solid"/>
              </a:ln>
              <a:effectLst/>
            </c:spPr>
          </c:marker>
          <c:cat>
            <c:numRef>
              <c:f>xBurndownHU!$A$2:$A$32</c:f>
              <c:numCache>
                <c:formatCode>m/d/yyyy</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xBurndownHU!$D$2:$D$32</c:f>
              <c:numCache>
                <c:formatCode>General</c:formatCode>
                <c:ptCount val="31"/>
                <c:pt idx="0">
                  <c:v>37</c:v>
                </c:pt>
                <c:pt idx="1">
                  <c:v>37</c:v>
                </c:pt>
                <c:pt idx="2">
                  <c:v>37</c:v>
                </c:pt>
                <c:pt idx="3">
                  <c:v>37</c:v>
                </c:pt>
                <c:pt idx="4">
                  <c:v>37</c:v>
                </c:pt>
                <c:pt idx="5">
                  <c:v>37</c:v>
                </c:pt>
                <c:pt idx="6">
                  <c:v>37</c:v>
                </c:pt>
                <c:pt idx="7">
                  <c:v>37</c:v>
                </c:pt>
                <c:pt idx="8">
                  <c:v>37</c:v>
                </c:pt>
                <c:pt idx="9">
                  <c:v>33</c:v>
                </c:pt>
                <c:pt idx="10">
                  <c:v>33</c:v>
                </c:pt>
                <c:pt idx="11">
                  <c:v>33</c:v>
                </c:pt>
                <c:pt idx="12">
                  <c:v>33</c:v>
                </c:pt>
                <c:pt idx="13">
                  <c:v>33</c:v>
                </c:pt>
                <c:pt idx="14">
                  <c:v>33</c:v>
                </c:pt>
                <c:pt idx="15">
                  <c:v>29</c:v>
                </c:pt>
                <c:pt idx="16">
                  <c:v>25</c:v>
                </c:pt>
                <c:pt idx="17">
                  <c:v>25</c:v>
                </c:pt>
                <c:pt idx="18">
                  <c:v>25</c:v>
                </c:pt>
                <c:pt idx="19">
                  <c:v>25</c:v>
                </c:pt>
                <c:pt idx="20">
                  <c:v>25</c:v>
                </c:pt>
                <c:pt idx="21">
                  <c:v>25</c:v>
                </c:pt>
                <c:pt idx="22">
                  <c:v>15</c:v>
                </c:pt>
                <c:pt idx="23">
                  <c:v>15</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5-6970-45D5-865A-920022E11E27}"/>
            </c:ext>
          </c:extLst>
        </c:ser>
        <c:dLbls>
          <c:showLegendKey val="0"/>
          <c:showVal val="0"/>
          <c:showCatName val="0"/>
          <c:showSerName val="0"/>
          <c:showPercent val="0"/>
          <c:showBubbleSize val="0"/>
        </c:dLbls>
        <c:smooth val="0"/>
        <c:axId val="64778760"/>
        <c:axId val="64780808"/>
      </c:lineChart>
      <c:dateAx>
        <c:axId val="64778760"/>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80808"/>
        <c:crosses val="autoZero"/>
        <c:auto val="1"/>
        <c:lblOffset val="100"/>
        <c:baseTimeUnit val="days"/>
      </c:dateAx>
      <c:valAx>
        <c:axId val="64780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787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rgbClr val="000000"/>
              </a:solidFill>
              <a:latin typeface="+mn-lt"/>
              <a:ea typeface="+mn-ea"/>
              <a:cs typeface="+mn-cs"/>
            </a:defRPr>
          </a:pPr>
          <a:endParaRPr lang="en-US"/>
        </a:p>
      </c:txPr>
    </c:legend>
    <c:plotVisOnly val="1"/>
    <c:dispBlanksAs val="zero"/>
    <c:showDLblsOverMax val="0"/>
  </c:chart>
  <c:spPr>
    <a:solidFill>
      <a:srgbClr val="F3F7E9"/>
    </a:solid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r>
              <a:rPr lang="en-US"/>
              <a:t>% ÁREAS (qtd tasks)</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endParaRPr lang="en-US"/>
        </a:p>
      </c:txPr>
    </c:title>
    <c:autoTitleDeleted val="0"/>
    <c:plotArea>
      <c:layout/>
      <c:pieChart>
        <c:varyColors val="1"/>
        <c:ser>
          <c:idx val="0"/>
          <c:order val="0"/>
          <c:tx>
            <c:strRef>
              <c:f>xAreas!$B$1</c:f>
              <c:strCache>
                <c:ptCount val="1"/>
                <c:pt idx="0">
                  <c:v>“Qtd”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27-4BF2-AF23-FB2B1D42D0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27-4BF2-AF23-FB2B1D42D0A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927-4BF2-AF23-FB2B1D42D0A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927-4BF2-AF23-FB2B1D42D0A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927-4BF2-AF23-FB2B1D42D0A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927-4BF2-AF23-FB2B1D42D0A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927-4BF2-AF23-FB2B1D42D0A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927-4BF2-AF23-FB2B1D42D0A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927-4BF2-AF23-FB2B1D42D0A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927-4BF2-AF23-FB2B1D42D0A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927-4BF2-AF23-FB2B1D42D0A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927-4BF2-AF23-FB2B1D42D0A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B927-4BF2-AF23-FB2B1D42D0A8}"/>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xAreas!$A$2:$A$14</c:f>
              <c:strCache>
                <c:ptCount val="13"/>
                <c:pt idx="0">
                  <c:v>.SERVANT.LEADER</c:v>
                </c:pt>
                <c:pt idx="1">
                  <c:v>.FIGMA.PROTOTIPO</c:v>
                </c:pt>
                <c:pt idx="2">
                  <c:v>.REQUISITOS</c:v>
                </c:pt>
                <c:pt idx="3">
                  <c:v>.PO</c:v>
                </c:pt>
                <c:pt idx="4">
                  <c:v>.MOBILE</c:v>
                </c:pt>
                <c:pt idx="5">
                  <c:v>.DESKTOP</c:v>
                </c:pt>
                <c:pt idx="6">
                  <c:v>.FIGMA.CENTRALIZADOR</c:v>
                </c:pt>
                <c:pt idx="7">
                  <c:v>.FIGMA.PUBLICACAO</c:v>
                </c:pt>
                <c:pt idx="8">
                  <c:v>.DEV.REVISAO</c:v>
                </c:pt>
                <c:pt idx="9">
                  <c:v>.DEV.BENCH</c:v>
                </c:pt>
                <c:pt idx="10">
                  <c:v>.DEV.PUBLICACAO</c:v>
                </c:pt>
                <c:pt idx="11">
                  <c:v>.DEV.CONSTRUCAO</c:v>
                </c:pt>
                <c:pt idx="12">
                  <c:v>.DEV.TESTES</c:v>
                </c:pt>
              </c:strCache>
            </c:strRef>
          </c:cat>
          <c:val>
            <c:numRef>
              <c:f>xAreas!$B$2:$B$14</c:f>
              <c:numCache>
                <c:formatCode>General</c:formatCode>
                <c:ptCount val="13"/>
                <c:pt idx="0">
                  <c:v>11</c:v>
                </c:pt>
                <c:pt idx="1">
                  <c:v>9</c:v>
                </c:pt>
                <c:pt idx="2">
                  <c:v>7</c:v>
                </c:pt>
                <c:pt idx="3">
                  <c:v>5</c:v>
                </c:pt>
                <c:pt idx="4">
                  <c:v>5</c:v>
                </c:pt>
                <c:pt idx="5">
                  <c:v>5</c:v>
                </c:pt>
                <c:pt idx="6">
                  <c:v>4</c:v>
                </c:pt>
                <c:pt idx="7">
                  <c:v>4</c:v>
                </c:pt>
                <c:pt idx="8">
                  <c:v>3</c:v>
                </c:pt>
                <c:pt idx="9">
                  <c:v>3</c:v>
                </c:pt>
                <c:pt idx="10">
                  <c:v>3</c:v>
                </c:pt>
                <c:pt idx="11">
                  <c:v>3</c:v>
                </c:pt>
                <c:pt idx="12">
                  <c:v>3</c:v>
                </c:pt>
              </c:numCache>
            </c:numRef>
          </c:val>
          <c:extLst>
            <c:ext xmlns:c16="http://schemas.microsoft.com/office/drawing/2014/chart" uri="{C3380CC4-5D6E-409C-BE32-E72D297353CC}">
              <c16:uniqueId val="{00000013-F48D-47B0-9B4B-4719FBE4C52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r>
              <a:rPr lang="en-US"/>
              <a:t>QTD. DE TAREFAS POR HU NA SPRINT</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endParaRPr lang="en-US"/>
        </a:p>
      </c:txPr>
    </c:title>
    <c:autoTitleDeleted val="0"/>
    <c:plotArea>
      <c:layout/>
      <c:radarChart>
        <c:radarStyle val="marker"/>
        <c:varyColors val="0"/>
        <c:ser>
          <c:idx val="0"/>
          <c:order val="0"/>
          <c:tx>
            <c:strRef>
              <c:f>xHUs!$B$1</c:f>
              <c:strCache>
                <c:ptCount val="1"/>
                <c:pt idx="0">
                  <c:v>Quantidade de Registros</c:v>
                </c:pt>
              </c:strCache>
            </c:strRef>
          </c:tx>
          <c:spPr>
            <a:ln w="28575" cap="rnd">
              <a:solidFill>
                <a:schemeClr val="accent1"/>
              </a:solidFill>
              <a:round/>
            </a:ln>
            <a:effectLst/>
          </c:spPr>
          <c:marker>
            <c:symbol val="circle"/>
            <c:size val="10"/>
            <c:spPr>
              <a:solidFill>
                <a:srgbClr val="F8CBAD"/>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4472C4"/>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xHUs!$A$2:$A$8</c:f>
              <c:strCache>
                <c:ptCount val="7"/>
                <c:pt idx="0">
                  <c:v>HU029- Construção UI/UX Desktop</c:v>
                </c:pt>
                <c:pt idx="1">
                  <c:v>HU030 - Construção UI/UX Mobile</c:v>
                </c:pt>
                <c:pt idx="2">
                  <c:v>HU031 - Benchmark DEV</c:v>
                </c:pt>
                <c:pt idx="3">
                  <c:v>HU032 - Construção DEV</c:v>
                </c:pt>
                <c:pt idx="4">
                  <c:v>HU033 - Testes DEV</c:v>
                </c:pt>
                <c:pt idx="5">
                  <c:v>HU034 - Registro e Publicação</c:v>
                </c:pt>
                <c:pt idx="6">
                  <c:v>Ausente em HU</c:v>
                </c:pt>
              </c:strCache>
            </c:strRef>
          </c:cat>
          <c:val>
            <c:numRef>
              <c:f>xHUs!$B$2:$B$8</c:f>
              <c:numCache>
                <c:formatCode>General</c:formatCode>
                <c:ptCount val="7"/>
                <c:pt idx="0">
                  <c:v>5</c:v>
                </c:pt>
                <c:pt idx="1">
                  <c:v>5</c:v>
                </c:pt>
                <c:pt idx="2">
                  <c:v>4</c:v>
                </c:pt>
                <c:pt idx="3">
                  <c:v>4</c:v>
                </c:pt>
                <c:pt idx="4">
                  <c:v>4</c:v>
                </c:pt>
                <c:pt idx="5">
                  <c:v>15</c:v>
                </c:pt>
                <c:pt idx="6">
                  <c:v>15</c:v>
                </c:pt>
              </c:numCache>
            </c:numRef>
          </c:val>
          <c:extLst>
            <c:ext xmlns:c16="http://schemas.microsoft.com/office/drawing/2014/chart" uri="{C3380CC4-5D6E-409C-BE32-E72D297353CC}">
              <c16:uniqueId val="{00000001-EC7D-4251-8CBC-7F4D93F922DB}"/>
            </c:ext>
          </c:extLst>
        </c:ser>
        <c:dLbls>
          <c:showLegendKey val="0"/>
          <c:showVal val="0"/>
          <c:showCatName val="0"/>
          <c:showSerName val="0"/>
          <c:showPercent val="0"/>
          <c:showBubbleSize val="0"/>
        </c:dLbls>
        <c:axId val="464925704"/>
        <c:axId val="464958472"/>
      </c:radarChart>
      <c:catAx>
        <c:axId val="464925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64958472"/>
        <c:crosses val="autoZero"/>
        <c:auto val="1"/>
        <c:lblAlgn val="ctr"/>
        <c:lblOffset val="100"/>
        <c:noMultiLvlLbl val="0"/>
      </c:catAx>
      <c:valAx>
        <c:axId val="46495847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64925704"/>
        <c:crosses val="autoZero"/>
        <c:crossBetween val="between"/>
      </c:valAx>
      <c:spPr>
        <a:noFill/>
        <a:ln>
          <a:noFill/>
        </a:ln>
        <a:effectLst/>
      </c:spPr>
    </c:plotArea>
    <c:plotVisOnly val="1"/>
    <c:dispBlanksAs val="gap"/>
    <c:showDLblsOverMax val="0"/>
  </c:chart>
  <c:spPr>
    <a:no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r>
              <a:rPr lang="en-US"/>
              <a:t>ESFORÇOS POR HU NA SPRINT</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endParaRPr lang="en-US"/>
        </a:p>
      </c:txPr>
    </c:title>
    <c:autoTitleDeleted val="0"/>
    <c:plotArea>
      <c:layout/>
      <c:barChart>
        <c:barDir val="col"/>
        <c:grouping val="clustered"/>
        <c:varyColors val="0"/>
        <c:ser>
          <c:idx val="0"/>
          <c:order val="0"/>
          <c:tx>
            <c:strRef>
              <c:f>xEsforcoHU!$D$1</c:f>
              <c:strCache>
                <c:ptCount val="1"/>
                <c:pt idx="0">
                  <c:v>Total Tarefas</c:v>
                </c:pt>
              </c:strCache>
            </c:strRef>
          </c:tx>
          <c:spPr>
            <a:solidFill>
              <a:srgbClr val="8EA9D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xEsforcoHU!A2:A8</c:f>
              <c:strCache>
                <c:ptCount val="7"/>
                <c:pt idx="0">
                  <c:v>HU029- Construção UI/UX Desktop</c:v>
                </c:pt>
                <c:pt idx="1">
                  <c:v>HU030 - Construção UI/UX Mobile</c:v>
                </c:pt>
                <c:pt idx="2">
                  <c:v>HU031 - Benchmark DEV</c:v>
                </c:pt>
                <c:pt idx="3">
                  <c:v>HU032 - Construção DEV</c:v>
                </c:pt>
                <c:pt idx="4">
                  <c:v>HU033 - Testes DEV</c:v>
                </c:pt>
                <c:pt idx="5">
                  <c:v>HU034 - Registro e Publicação</c:v>
                </c:pt>
                <c:pt idx="6">
                  <c:v>Geral / Não Previstos / Bugs*</c:v>
                </c:pt>
              </c:strCache>
            </c:strRef>
          </c:cat>
          <c:val>
            <c:numRef>
              <c:f>xEsforcoHU!$D$2:$D$8</c:f>
              <c:numCache>
                <c:formatCode>General</c:formatCode>
                <c:ptCount val="7"/>
                <c:pt idx="0">
                  <c:v>5</c:v>
                </c:pt>
                <c:pt idx="1">
                  <c:v>5</c:v>
                </c:pt>
                <c:pt idx="2">
                  <c:v>4</c:v>
                </c:pt>
                <c:pt idx="3">
                  <c:v>4</c:v>
                </c:pt>
                <c:pt idx="4">
                  <c:v>4</c:v>
                </c:pt>
                <c:pt idx="5">
                  <c:v>15</c:v>
                </c:pt>
                <c:pt idx="6">
                  <c:v>16</c:v>
                </c:pt>
              </c:numCache>
            </c:numRef>
          </c:val>
          <c:extLst>
            <c:ext xmlns:c16="http://schemas.microsoft.com/office/drawing/2014/chart" uri="{C3380CC4-5D6E-409C-BE32-E72D297353CC}">
              <c16:uniqueId val="{00000001-C46C-44D5-852A-54BF4F66E21D}"/>
            </c:ext>
          </c:extLst>
        </c:ser>
        <c:ser>
          <c:idx val="1"/>
          <c:order val="1"/>
          <c:tx>
            <c:strRef>
              <c:f>xEsforcoHU!$E$1</c:f>
              <c:strCache>
                <c:ptCount val="1"/>
                <c:pt idx="0">
                  <c:v>Concluídas</c:v>
                </c:pt>
              </c:strCache>
            </c:strRef>
          </c:tx>
          <c:spPr>
            <a:solidFill>
              <a:srgbClr val="F4B08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xEsforcoHU!A2:A8</c:f>
              <c:strCache>
                <c:ptCount val="7"/>
                <c:pt idx="0">
                  <c:v>HU029- Construção UI/UX Desktop</c:v>
                </c:pt>
                <c:pt idx="1">
                  <c:v>HU030 - Construção UI/UX Mobile</c:v>
                </c:pt>
                <c:pt idx="2">
                  <c:v>HU031 - Benchmark DEV</c:v>
                </c:pt>
                <c:pt idx="3">
                  <c:v>HU032 - Construção DEV</c:v>
                </c:pt>
                <c:pt idx="4">
                  <c:v>HU033 - Testes DEV</c:v>
                </c:pt>
                <c:pt idx="5">
                  <c:v>HU034 - Registro e Publicação</c:v>
                </c:pt>
                <c:pt idx="6">
                  <c:v>Geral / Não Previstos / Bugs*</c:v>
                </c:pt>
              </c:strCache>
            </c:strRef>
          </c:cat>
          <c:val>
            <c:numRef>
              <c:f>xEsforcoHU!$E$2:$E$8</c:f>
              <c:numCache>
                <c:formatCode>General</c:formatCode>
                <c:ptCount val="7"/>
                <c:pt idx="0">
                  <c:v>4</c:v>
                </c:pt>
                <c:pt idx="1">
                  <c:v>4</c:v>
                </c:pt>
                <c:pt idx="2">
                  <c:v>4</c:v>
                </c:pt>
                <c:pt idx="3">
                  <c:v>4</c:v>
                </c:pt>
                <c:pt idx="4">
                  <c:v>4</c:v>
                </c:pt>
                <c:pt idx="5">
                  <c:v>2</c:v>
                </c:pt>
                <c:pt idx="6">
                  <c:v>6</c:v>
                </c:pt>
              </c:numCache>
            </c:numRef>
          </c:val>
          <c:extLst>
            <c:ext xmlns:c16="http://schemas.microsoft.com/office/drawing/2014/chart" uri="{C3380CC4-5D6E-409C-BE32-E72D297353CC}">
              <c16:uniqueId val="{00000003-C46C-44D5-852A-54BF4F66E21D}"/>
            </c:ext>
          </c:extLst>
        </c:ser>
        <c:ser>
          <c:idx val="3"/>
          <c:order val="2"/>
          <c:tx>
            <c:strRef>
              <c:f>{"Storypoints Total"}</c:f>
              <c:strCache>
                <c:ptCount val="1"/>
                <c:pt idx="0">
                  <c:v>Storypoints Total</c:v>
                </c:pt>
              </c:strCache>
            </c:strRef>
          </c:tx>
          <c:spPr>
            <a:solidFill>
              <a:srgbClr val="70AD47"/>
            </a:solidFill>
            <a:ln>
              <a:noFill/>
            </a:ln>
            <a:effectLst/>
          </c:spPr>
          <c:invertIfNegative val="0"/>
          <c:cat>
            <c:strRef>
              <c:f>xEsforcoHU!A2:A8</c:f>
              <c:strCache>
                <c:ptCount val="7"/>
                <c:pt idx="0">
                  <c:v>HU029- Construção UI/UX Desktop</c:v>
                </c:pt>
                <c:pt idx="1">
                  <c:v>HU030 - Construção UI/UX Mobile</c:v>
                </c:pt>
                <c:pt idx="2">
                  <c:v>HU031 - Benchmark DEV</c:v>
                </c:pt>
                <c:pt idx="3">
                  <c:v>HU032 - Construção DEV</c:v>
                </c:pt>
                <c:pt idx="4">
                  <c:v>HU033 - Testes DEV</c:v>
                </c:pt>
                <c:pt idx="5">
                  <c:v>HU034 - Registro e Publicação</c:v>
                </c:pt>
                <c:pt idx="6">
                  <c:v>Geral / Não Previstos / Bugs*</c:v>
                </c:pt>
              </c:strCache>
            </c:strRef>
          </c:cat>
          <c:val>
            <c:numRef>
              <c:f>xEsforcoHU!C2:C8</c:f>
              <c:numCache>
                <c:formatCode>General</c:formatCode>
                <c:ptCount val="7"/>
                <c:pt idx="0">
                  <c:v>26</c:v>
                </c:pt>
                <c:pt idx="1">
                  <c:v>26</c:v>
                </c:pt>
                <c:pt idx="2">
                  <c:v>38</c:v>
                </c:pt>
                <c:pt idx="3">
                  <c:v>33</c:v>
                </c:pt>
                <c:pt idx="4">
                  <c:v>40</c:v>
                </c:pt>
                <c:pt idx="5">
                  <c:v>35</c:v>
                </c:pt>
                <c:pt idx="6">
                  <c:v>0</c:v>
                </c:pt>
              </c:numCache>
            </c:numRef>
          </c:val>
          <c:extLst>
            <c:ext xmlns:c16="http://schemas.microsoft.com/office/drawing/2014/chart" uri="{C3380CC4-5D6E-409C-BE32-E72D297353CC}">
              <c16:uniqueId val="{00000006-C46C-44D5-852A-54BF4F66E21D}"/>
            </c:ext>
          </c:extLst>
        </c:ser>
        <c:ser>
          <c:idx val="2"/>
          <c:order val="3"/>
          <c:tx>
            <c:strRef>
              <c:f>{"Max. Storypoints Perfil"}</c:f>
              <c:strCache>
                <c:ptCount val="1"/>
                <c:pt idx="0">
                  <c:v>Max. Storypoints Perfil</c:v>
                </c:pt>
              </c:strCache>
            </c:strRef>
          </c:tx>
          <c:spPr>
            <a:solidFill>
              <a:srgbClr val="A9D08E"/>
            </a:solidFill>
            <a:ln>
              <a:noFill/>
            </a:ln>
            <a:effectLst/>
          </c:spPr>
          <c:invertIfNegative val="0"/>
          <c:cat>
            <c:strRef>
              <c:f>xEsforcoHU!A2:A8</c:f>
              <c:strCache>
                <c:ptCount val="7"/>
                <c:pt idx="0">
                  <c:v>HU029- Construção UI/UX Desktop</c:v>
                </c:pt>
                <c:pt idx="1">
                  <c:v>HU030 - Construção UI/UX Mobile</c:v>
                </c:pt>
                <c:pt idx="2">
                  <c:v>HU031 - Benchmark DEV</c:v>
                </c:pt>
                <c:pt idx="3">
                  <c:v>HU032 - Construção DEV</c:v>
                </c:pt>
                <c:pt idx="4">
                  <c:v>HU033 - Testes DEV</c:v>
                </c:pt>
                <c:pt idx="5">
                  <c:v>HU034 - Registro e Publicação</c:v>
                </c:pt>
                <c:pt idx="6">
                  <c:v>Geral / Não Previstos / Bugs*</c:v>
                </c:pt>
              </c:strCache>
            </c:strRef>
          </c:cat>
          <c:val>
            <c:numRef>
              <c:f>xEsforcoHU!B2:B8</c:f>
              <c:numCache>
                <c:formatCode>General</c:formatCode>
                <c:ptCount val="7"/>
                <c:pt idx="0">
                  <c:v>8</c:v>
                </c:pt>
                <c:pt idx="1">
                  <c:v>8</c:v>
                </c:pt>
                <c:pt idx="2">
                  <c:v>8</c:v>
                </c:pt>
                <c:pt idx="3">
                  <c:v>8</c:v>
                </c:pt>
                <c:pt idx="4">
                  <c:v>8</c:v>
                </c:pt>
                <c:pt idx="5">
                  <c:v>8</c:v>
                </c:pt>
                <c:pt idx="6">
                  <c:v>0</c:v>
                </c:pt>
              </c:numCache>
            </c:numRef>
          </c:val>
          <c:extLst>
            <c:ext xmlns:c16="http://schemas.microsoft.com/office/drawing/2014/chart" uri="{C3380CC4-5D6E-409C-BE32-E72D297353CC}">
              <c16:uniqueId val="{00000005-C46C-44D5-852A-54BF4F66E21D}"/>
            </c:ext>
          </c:extLst>
        </c:ser>
        <c:dLbls>
          <c:showLegendKey val="0"/>
          <c:showVal val="0"/>
          <c:showCatName val="0"/>
          <c:showSerName val="0"/>
          <c:showPercent val="0"/>
          <c:showBubbleSize val="0"/>
        </c:dLbls>
        <c:gapWidth val="219"/>
        <c:axId val="34958856"/>
        <c:axId val="474180104"/>
      </c:barChart>
      <c:catAx>
        <c:axId val="34958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180104"/>
        <c:crosses val="autoZero"/>
        <c:auto val="1"/>
        <c:lblAlgn val="ctr"/>
        <c:lblOffset val="100"/>
        <c:noMultiLvlLbl val="0"/>
      </c:catAx>
      <c:valAx>
        <c:axId val="47418010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49588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gp_Roadmap!$B$1</c:f>
              <c:strCache>
                <c:ptCount val="1"/>
                <c:pt idx="0">
                  <c:v>Posição</c:v>
                </c:pt>
              </c:strCache>
            </c:strRef>
          </c:tx>
          <c:spPr>
            <a:ln w="25400" cap="rnd">
              <a:noFill/>
              <a:round/>
            </a:ln>
            <a:effectLst/>
          </c:spPr>
          <c:marker>
            <c:symbol val="diamond"/>
            <c:size val="8"/>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48235"/>
                    </a:solidFill>
                    <a:latin typeface="+mn-lt"/>
                    <a:ea typeface="+mn-ea"/>
                    <a:cs typeface="+mn-cs"/>
                  </a:defRPr>
                </a:pPr>
                <a:endParaRPr lang="en-US"/>
              </a:p>
            </c:txPr>
            <c:dLblPos val="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percentage"/>
            <c:noEndCap val="0"/>
            <c:val val="100"/>
            <c:spPr>
              <a:noFill/>
              <a:ln w="9525" cap="flat" cmpd="sng" algn="ctr">
                <a:solidFill>
                  <a:schemeClr val="tx1">
                    <a:lumMod val="65000"/>
                    <a:lumOff val="35000"/>
                  </a:schemeClr>
                </a:solidFill>
                <a:round/>
              </a:ln>
              <a:effectLst/>
            </c:spPr>
          </c:errBars>
          <c:xVal>
            <c:strRef>
              <c:f>gp_Roadmap!$A$2:$A$19</c:f>
              <c:strCache>
                <c:ptCount val="18"/>
                <c:pt idx="0">
                  <c:v>Início do Projeto - Ideação e 
preparação do ambiente 
(assunção GP CABRAL)</c:v>
                </c:pt>
                <c:pt idx="1">
                  <c:v>Estabelecer os fundamentos de interface e padrões de interação para novos fluxos.Definição de fluxos de autenticação, arquitetura de páginas iniciais e componentes de pesquisa padronizados.</c:v>
                </c:pt>
                <c:pt idx="2">
                  <c:v>Consolidar a fidelidade visual e usabilidade de sistemas estruturantes.Evolução de protótipos para alta fidelidade e realização de auditoria de usabilidade em fluxos complexos.</c:v>
                </c:pt>
                <c:pt idx="3">
                  <c:v>Padronizar componentes de portal e sistemas sob demanda de alta celeridade.Prototipação customizada de interfaces de usuário e estruturação ágil de componentes de navegação.</c:v>
                </c:pt>
                <c:pt idx="4">
                  <c:v>Definir o fluxo de trabalho (workflow) de UI/UX e homologar a identidade visual base (Style Guide).Entrega do Workflow de implementação de Design System, Mindmap de Design Thinking e homologação da paleta de cores.</c:v>
                </c:pt>
                <c:pt idx="5">
                  <c:v>Otimizar a adaptabilidade mobile e status visuais de acompanhamento de jornada.Refinamento de interfaces responsivas (mobile) e padronização de componentes de status e rodapé.</c:v>
                </c:pt>
                <c:pt idx="6">
                  <c:v>Aperfeiçoar componentes de persistência de dados e fluxos de preenchimento.Design de protótipos focados na funcionalidade de salvamento temporário e melhoria na experiência de formulários.</c:v>
                </c:pt>
                <c:pt idx="7">
                  <c:v>Evoluir componentes de visualização de dados e interfaces técnicas.Criação de protótipos para fluxos críticos de análise e automação visual de tabelas e matrizes de decisão.</c:v>
                </c:pt>
                <c:pt idx="8">
                  <c:v>Liderar o processo de Discovery da Iniciativa SquadsRS (oficinas e entrevistas com PO) e expandir componentes de acessibilidade no Storybook.Lançamento de paleta de alto contraste, desenvolvimento de componentes de colapso, divisores e alertas.</c:v>
                </c:pt>
                <c:pt idx="9">
                  <c:v>Padronizar a comunicação visual das squads (modelo PPT) e refinar componentes globais (tokens, breadcrumb e variações de botões).Criação de tokens por seção, novas variações de botões e ajustes no Header Dashboard e Breadcrumbs.</c:v>
                </c:pt>
                <c:pt idx="10">
                  <c:v>Validar a fluidez visual e consistência de componentes em ambiente integrado.Refinamento de componentes de interface e ajustes de UI baseados em feedbacks de homologação cruzada.</c:v>
                </c:pt>
                <c:pt idx="11">
                  <c:v>Liderar a fase de Discovery (Lean Inception), mapeamento de personas e definição de MVP para novas iniciativas.Condução de oficinas, definição de jornadas de usuário e estruturação de backlog sob a ótica de CX.</c:v>
                </c:pt>
                <c:pt idx="12">
                  <c:v>Traduzir requisitos de negócio em arquitetura de informação e histórias de usuário (HUs).Elaboração de fluxos de navegação detalhados, modelos de dados visuais e definição da arquitetura de interface para novos MVPs.</c:v>
                </c:pt>
                <c:pt idx="13">
                  <c:v>Documentação/Registro no Storybook de componentes já disponíveis no FIGMA e em provável utilização/operação em projetos do SquadsRS, somado a construção de outros componentes, templates (páginas), melhorias em modelo de apresentação PPT e estabelecimento de diretrizes documentais para Storybook.Construção de componentes de Login/Logout, Avatares, DateTime e Modais; documentação técnica centralizada.</c:v>
                </c:pt>
                <c:pt idx="15">
                  <c:v>Operacionalizar a construção e publicação de componentes no FIGMA como Cookiebar, Skiplinks, Card Feedback - Gamificação, e o desenvolvimento (benchmark, testes, construção e publicação) no Storybook de componentes já prototipados como Button, Card Estático, ProgressBar e Upload.Refinamento de diretrizes documentais, ajustes de contraste e centralização de ativos de publicação de componentes no Figma.</c:v>
                </c:pt>
                <c:pt idx="17">
                  <c:v>Continuidade a partir do backlog de 
produto em contínua atualização</c:v>
                </c:pt>
              </c:strCache>
            </c:strRef>
          </c:xVal>
          <c:yVal>
            <c:numRef>
              <c:f>gp_Roadmap!$B$2:$B$19</c:f>
              <c:numCache>
                <c:formatCode>General</c:formatCode>
                <c:ptCount val="18"/>
                <c:pt idx="0">
                  <c:v>20</c:v>
                </c:pt>
                <c:pt idx="1">
                  <c:v>-60</c:v>
                </c:pt>
                <c:pt idx="2">
                  <c:v>-30</c:v>
                </c:pt>
                <c:pt idx="3">
                  <c:v>70</c:v>
                </c:pt>
                <c:pt idx="4">
                  <c:v>40</c:v>
                </c:pt>
                <c:pt idx="5">
                  <c:v>10</c:v>
                </c:pt>
                <c:pt idx="6">
                  <c:v>-75</c:v>
                </c:pt>
                <c:pt idx="7">
                  <c:v>-50</c:v>
                </c:pt>
                <c:pt idx="8">
                  <c:v>-20</c:v>
                </c:pt>
                <c:pt idx="9">
                  <c:v>75</c:v>
                </c:pt>
                <c:pt idx="10">
                  <c:v>45</c:v>
                </c:pt>
                <c:pt idx="11">
                  <c:v>15</c:v>
                </c:pt>
                <c:pt idx="12">
                  <c:v>-75</c:v>
                </c:pt>
                <c:pt idx="13">
                  <c:v>-30</c:v>
                </c:pt>
                <c:pt idx="15">
                  <c:v>60</c:v>
                </c:pt>
                <c:pt idx="17">
                  <c:v>15</c:v>
                </c:pt>
              </c:numCache>
            </c:numRef>
          </c:yVal>
          <c:smooth val="0"/>
          <c:extLst>
            <c:ext xmlns:c16="http://schemas.microsoft.com/office/drawing/2014/chart" uri="{C3380CC4-5D6E-409C-BE32-E72D297353CC}">
              <c16:uniqueId val="{00000001-930A-4540-B349-746CD490944E}"/>
            </c:ext>
          </c:extLst>
        </c:ser>
        <c:dLbls>
          <c:showLegendKey val="0"/>
          <c:showVal val="0"/>
          <c:showCatName val="0"/>
          <c:showSerName val="0"/>
          <c:showPercent val="0"/>
          <c:showBubbleSize val="0"/>
        </c:dLbls>
        <c:axId val="1268249607"/>
        <c:axId val="1268251655"/>
      </c:scatterChart>
      <c:valAx>
        <c:axId val="1268249607"/>
        <c:scaling>
          <c:orientation val="minMax"/>
          <c:max val="22"/>
          <c:min val="0"/>
        </c:scaling>
        <c:delete val="1"/>
        <c:axPos val="b"/>
        <c:numFmt formatCode="General" sourceLinked="0"/>
        <c:majorTickMark val="none"/>
        <c:minorTickMark val="none"/>
        <c:tickLblPos val="low"/>
        <c:crossAx val="1268251655"/>
        <c:crosses val="autoZero"/>
        <c:crossBetween val="midCat"/>
        <c:majorUnit val="1"/>
        <c:minorUnit val="1"/>
      </c:valAx>
      <c:valAx>
        <c:axId val="1268251655"/>
        <c:scaling>
          <c:orientation val="minMax"/>
          <c:max val="80"/>
          <c:min val="-80"/>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high"/>
        <c:crossAx val="1268249607"/>
        <c:crosses val="autoZero"/>
        <c:crossBetween val="midCat"/>
        <c:minorUnit val="80"/>
      </c:valAx>
      <c:spPr>
        <a:noFill/>
        <a:ln>
          <a:noFill/>
        </a:ln>
        <a:effectLst/>
      </c:spPr>
    </c:plotArea>
    <c:plotVisOnly val="1"/>
    <c:dispBlanksAs val="gap"/>
    <c:showDLblsOverMax val="0"/>
  </c:chart>
  <c:spPr>
    <a:no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r>
              <a:rPr lang="en-US"/>
              <a:t>RELAÇÃO THROUOGHPUT (MEDIÇÕES) HISTÓRICO DO PROJETO x DA SPRINT</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endParaRPr lang="en-US"/>
        </a:p>
      </c:txPr>
    </c:title>
    <c:autoTitleDeleted val="0"/>
    <c:plotArea>
      <c:layout/>
      <c:areaChart>
        <c:grouping val="stacked"/>
        <c:varyColors val="0"/>
        <c:ser>
          <c:idx val="0"/>
          <c:order val="0"/>
          <c:tx>
            <c:strRef>
              <c:f>{"Média Storypoints"}</c:f>
              <c:strCache>
                <c:ptCount val="0"/>
              </c:strCache>
            </c:strRef>
          </c:tx>
          <c:spPr>
            <a:solidFill>
              <a:srgbClr val="F4B084"/>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Report!$G$36:$G$46</c:f>
              <c:strCache>
                <c:ptCount val="0"/>
              </c:strCache>
            </c:strRef>
          </c:cat>
          <c:val>
            <c:numRef>
              <c:f>Report!D36:D46</c:f>
              <c:numCache>
                <c:formatCode>General</c:formatCode>
                <c:ptCount val="0"/>
              </c:numCache>
            </c:numRef>
          </c:val>
          <c:extLst>
            <c:ext xmlns:c16="http://schemas.microsoft.com/office/drawing/2014/chart" uri="{C3380CC4-5D6E-409C-BE32-E72D297353CC}">
              <c16:uniqueId val="{0000000D-8D1F-4A5C-A878-E06E476B7F16}"/>
            </c:ext>
          </c:extLst>
        </c:ser>
        <c:ser>
          <c:idx val="4"/>
          <c:order val="1"/>
          <c:tx>
            <c:strRef>
              <c:f>{"Storypoints da Sprint"}</c:f>
              <c:strCache>
                <c:ptCount val="0"/>
              </c:strCache>
            </c:strRef>
          </c:tx>
          <c:spPr>
            <a:solidFill>
              <a:schemeClr val="accent5"/>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Report!$G$36:$G$46</c:f>
              <c:strCache>
                <c:ptCount val="0"/>
              </c:strCache>
            </c:strRef>
          </c:cat>
          <c:val>
            <c:numRef>
              <c:f>Report!$O$36:$O$46</c:f>
              <c:numCache>
                <c:formatCode>General</c:formatCode>
                <c:ptCount val="0"/>
              </c:numCache>
            </c:numRef>
          </c:val>
          <c:extLst>
            <c:ext xmlns:c16="http://schemas.microsoft.com/office/drawing/2014/chart" uri="{C3380CC4-5D6E-409C-BE32-E72D297353CC}">
              <c16:uniqueId val="{0000000B-8D1F-4A5C-A878-E06E476B7F16}"/>
            </c:ext>
          </c:extLst>
        </c:ser>
        <c:dLbls>
          <c:showLegendKey val="0"/>
          <c:showVal val="0"/>
          <c:showCatName val="0"/>
          <c:showSerName val="0"/>
          <c:showPercent val="0"/>
          <c:showBubbleSize val="0"/>
        </c:dLbls>
        <c:axId val="462696456"/>
        <c:axId val="1531707912"/>
      </c:areaChart>
      <c:catAx>
        <c:axId val="462696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707912"/>
        <c:crosses val="autoZero"/>
        <c:auto val="1"/>
        <c:lblAlgn val="ctr"/>
        <c:lblOffset val="100"/>
        <c:noMultiLvlLbl val="0"/>
      </c:catAx>
      <c:valAx>
        <c:axId val="1531707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696456"/>
        <c:crosses val="autoZero"/>
        <c:crossBetween val="midCa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r>
              <a:rPr lang="en-US"/>
              <a:t>CYCLETIME x LEADTIME - POR CATEGORIA (RÓTULO) NA SPRINT</a:t>
            </a:r>
          </a:p>
        </c:rich>
      </c:tx>
      <c:layout>
        <c:manualLayout>
          <c:xMode val="edge"/>
          <c:yMode val="edge"/>
          <c:x val="0.19869888735178437"/>
          <c:y val="1.0131777183940342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endParaRPr lang="en-US"/>
        </a:p>
      </c:txPr>
    </c:title>
    <c:autoTitleDeleted val="0"/>
    <c:plotArea>
      <c:layout/>
      <c:barChart>
        <c:barDir val="bar"/>
        <c:grouping val="stacked"/>
        <c:varyColors val="0"/>
        <c:ser>
          <c:idx val="2"/>
          <c:order val="0"/>
          <c:tx>
            <c:strRef>
              <c:f>xRotulos!D1</c:f>
              <c:strCache>
                <c:ptCount val="1"/>
                <c:pt idx="0">
                  <c:v>Leadtime (em dias)</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CE4D6"/>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xRotulos!$A$2:$A$18</c:f>
              <c:strCache>
                <c:ptCount val="17"/>
                <c:pt idx="0">
                  <c:v>UX (7/18)</c:v>
                </c:pt>
                <c:pt idx="1">
                  <c:v>DEV (10/18)</c:v>
                </c:pt>
                <c:pt idx="2">
                  <c:v>GP (11/17)</c:v>
                </c:pt>
                <c:pt idx="3">
                  <c:v>NAO MAPEADO (5/15)</c:v>
                </c:pt>
                <c:pt idx="4">
                  <c:v>HU034 - REGISTRO E PUBLICAÇÃO (2/15)</c:v>
                </c:pt>
                <c:pt idx="5">
                  <c:v>SERVANT.LEADER (10/11)</c:v>
                </c:pt>
                <c:pt idx="6">
                  <c:v>FIGMA.PROTOTIPO (6/9)</c:v>
                </c:pt>
                <c:pt idx="7">
                  <c:v>REQUISITOS (7/7)</c:v>
                </c:pt>
                <c:pt idx="8">
                  <c:v>HU029- CONSTRUÇÃO UI/UX DESKTOP (4/5)</c:v>
                </c:pt>
                <c:pt idx="9">
                  <c:v>PO (4/5)</c:v>
                </c:pt>
                <c:pt idx="10">
                  <c:v>MOBILE (3/5)</c:v>
                </c:pt>
                <c:pt idx="11">
                  <c:v>DESKTOP (3/5)</c:v>
                </c:pt>
                <c:pt idx="12">
                  <c:v>HU030 - CONSTRUÇÃO UI/UX MOBILE (4/5)</c:v>
                </c:pt>
                <c:pt idx="13">
                  <c:v>FIGMA.PUBLICACAO (0/4)</c:v>
                </c:pt>
                <c:pt idx="14">
                  <c:v>HU031 - BENCHMARK DEV (4/4)</c:v>
                </c:pt>
                <c:pt idx="15">
                  <c:v>HU032 - CONSTRUÇÃO DEV (4/4)</c:v>
                </c:pt>
                <c:pt idx="16">
                  <c:v>HU033 - TESTES DEV (4/4)</c:v>
                </c:pt>
              </c:strCache>
            </c:strRef>
          </c:cat>
          <c:val>
            <c:numRef>
              <c:f>xRotulos!D2:D18</c:f>
              <c:numCache>
                <c:formatCode>General</c:formatCode>
                <c:ptCount val="17"/>
                <c:pt idx="0">
                  <c:v>19.57</c:v>
                </c:pt>
                <c:pt idx="1">
                  <c:v>20.2</c:v>
                </c:pt>
                <c:pt idx="2">
                  <c:v>10.91</c:v>
                </c:pt>
                <c:pt idx="3">
                  <c:v>9.6</c:v>
                </c:pt>
                <c:pt idx="4">
                  <c:v>16</c:v>
                </c:pt>
                <c:pt idx="5">
                  <c:v>11.9</c:v>
                </c:pt>
                <c:pt idx="6">
                  <c:v>19.170000000000002</c:v>
                </c:pt>
                <c:pt idx="7">
                  <c:v>13.43</c:v>
                </c:pt>
                <c:pt idx="8">
                  <c:v>17.75</c:v>
                </c:pt>
                <c:pt idx="9">
                  <c:v>11.75</c:v>
                </c:pt>
                <c:pt idx="10">
                  <c:v>18.670000000000002</c:v>
                </c:pt>
                <c:pt idx="11">
                  <c:v>19.670000000000002</c:v>
                </c:pt>
                <c:pt idx="12">
                  <c:v>17</c:v>
                </c:pt>
                <c:pt idx="13">
                  <c:v>0</c:v>
                </c:pt>
                <c:pt idx="14">
                  <c:v>22.25</c:v>
                </c:pt>
                <c:pt idx="15">
                  <c:v>15</c:v>
                </c:pt>
                <c:pt idx="16">
                  <c:v>17.25</c:v>
                </c:pt>
              </c:numCache>
            </c:numRef>
          </c:val>
          <c:extLst>
            <c:ext xmlns:c16="http://schemas.microsoft.com/office/drawing/2014/chart" uri="{C3380CC4-5D6E-409C-BE32-E72D297353CC}">
              <c16:uniqueId val="{00000001-29E8-4660-8613-4CAFE725CD36}"/>
            </c:ext>
          </c:extLst>
        </c:ser>
        <c:ser>
          <c:idx val="0"/>
          <c:order val="1"/>
          <c:tx>
            <c:strRef>
              <c:f>xRotulos!E1</c:f>
              <c:strCache>
                <c:ptCount val="1"/>
                <c:pt idx="0">
                  <c:v>Cycletime (em dias)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xRotulos!$A$2:$A$18</c:f>
              <c:strCache>
                <c:ptCount val="17"/>
                <c:pt idx="0">
                  <c:v>UX (7/18)</c:v>
                </c:pt>
                <c:pt idx="1">
                  <c:v>DEV (10/18)</c:v>
                </c:pt>
                <c:pt idx="2">
                  <c:v>GP (11/17)</c:v>
                </c:pt>
                <c:pt idx="3">
                  <c:v>NAO MAPEADO (5/15)</c:v>
                </c:pt>
                <c:pt idx="4">
                  <c:v>HU034 - REGISTRO E PUBLICAÇÃO (2/15)</c:v>
                </c:pt>
                <c:pt idx="5">
                  <c:v>SERVANT.LEADER (10/11)</c:v>
                </c:pt>
                <c:pt idx="6">
                  <c:v>FIGMA.PROTOTIPO (6/9)</c:v>
                </c:pt>
                <c:pt idx="7">
                  <c:v>REQUISITOS (7/7)</c:v>
                </c:pt>
                <c:pt idx="8">
                  <c:v>HU029- CONSTRUÇÃO UI/UX DESKTOP (4/5)</c:v>
                </c:pt>
                <c:pt idx="9">
                  <c:v>PO (4/5)</c:v>
                </c:pt>
                <c:pt idx="10">
                  <c:v>MOBILE (3/5)</c:v>
                </c:pt>
                <c:pt idx="11">
                  <c:v>DESKTOP (3/5)</c:v>
                </c:pt>
                <c:pt idx="12">
                  <c:v>HU030 - CONSTRUÇÃO UI/UX MOBILE (4/5)</c:v>
                </c:pt>
                <c:pt idx="13">
                  <c:v>FIGMA.PUBLICACAO (0/4)</c:v>
                </c:pt>
                <c:pt idx="14">
                  <c:v>HU031 - BENCHMARK DEV (4/4)</c:v>
                </c:pt>
                <c:pt idx="15">
                  <c:v>HU032 - CONSTRUÇÃO DEV (4/4)</c:v>
                </c:pt>
                <c:pt idx="16">
                  <c:v>HU033 - TESTES DEV (4/4)</c:v>
                </c:pt>
              </c:strCache>
            </c:strRef>
          </c:cat>
          <c:val>
            <c:numRef>
              <c:f>xRotulos!E2:E18</c:f>
              <c:numCache>
                <c:formatCode>General</c:formatCode>
                <c:ptCount val="17"/>
                <c:pt idx="0">
                  <c:v>15.14</c:v>
                </c:pt>
                <c:pt idx="1">
                  <c:v>5.0999999999999996</c:v>
                </c:pt>
                <c:pt idx="2">
                  <c:v>7.91</c:v>
                </c:pt>
                <c:pt idx="3">
                  <c:v>6.6</c:v>
                </c:pt>
                <c:pt idx="4">
                  <c:v>5</c:v>
                </c:pt>
                <c:pt idx="5">
                  <c:v>8.8000000000000007</c:v>
                </c:pt>
                <c:pt idx="6">
                  <c:v>14.67</c:v>
                </c:pt>
                <c:pt idx="7">
                  <c:v>10.29</c:v>
                </c:pt>
                <c:pt idx="8">
                  <c:v>13.25</c:v>
                </c:pt>
                <c:pt idx="9">
                  <c:v>8.5</c:v>
                </c:pt>
                <c:pt idx="10">
                  <c:v>14.67</c:v>
                </c:pt>
                <c:pt idx="11">
                  <c:v>14.67</c:v>
                </c:pt>
                <c:pt idx="12">
                  <c:v>13.25</c:v>
                </c:pt>
                <c:pt idx="13">
                  <c:v>0</c:v>
                </c:pt>
                <c:pt idx="14">
                  <c:v>4.75</c:v>
                </c:pt>
                <c:pt idx="15">
                  <c:v>9.5</c:v>
                </c:pt>
                <c:pt idx="16">
                  <c:v>5</c:v>
                </c:pt>
              </c:numCache>
            </c:numRef>
          </c:val>
          <c:extLst>
            <c:ext xmlns:c16="http://schemas.microsoft.com/office/drawing/2014/chart" uri="{C3380CC4-5D6E-409C-BE32-E72D297353CC}">
              <c16:uniqueId val="{00000001-1910-41C6-BAFC-96FBA7231B5C}"/>
            </c:ext>
          </c:extLst>
        </c:ser>
        <c:dLbls>
          <c:showLegendKey val="0"/>
          <c:showVal val="0"/>
          <c:showCatName val="0"/>
          <c:showSerName val="0"/>
          <c:showPercent val="0"/>
          <c:showBubbleSize val="0"/>
        </c:dLbls>
        <c:gapWidth val="150"/>
        <c:overlap val="100"/>
        <c:axId val="1124577287"/>
        <c:axId val="1124579847"/>
      </c:barChart>
      <c:catAx>
        <c:axId val="1124577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579847"/>
        <c:crosses val="autoZero"/>
        <c:auto val="1"/>
        <c:lblAlgn val="ctr"/>
        <c:lblOffset val="100"/>
        <c:noMultiLvlLbl val="0"/>
      </c:catAx>
      <c:valAx>
        <c:axId val="1124579847"/>
        <c:scaling>
          <c:orientation val="minMax"/>
        </c:scaling>
        <c:delete val="1"/>
        <c:axPos val="b"/>
        <c:numFmt formatCode="General" sourceLinked="1"/>
        <c:majorTickMark val="none"/>
        <c:minorTickMark val="none"/>
        <c:tickLblPos val="nextTo"/>
        <c:crossAx val="11245772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r>
              <a:rPr lang="en-US"/>
              <a:t>CYCLETIME x LEADTIME - POR COLABORADOR NA SPRINT</a:t>
            </a:r>
          </a:p>
        </c:rich>
      </c:tx>
      <c:layout>
        <c:manualLayout>
          <c:xMode val="edge"/>
          <c:yMode val="edge"/>
          <c:x val="0.15539053331448058"/>
          <c:y val="1.0196109240620818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endParaRPr lang="en-US"/>
        </a:p>
      </c:txPr>
    </c:title>
    <c:autoTitleDeleted val="0"/>
    <c:plotArea>
      <c:layout/>
      <c:barChart>
        <c:barDir val="bar"/>
        <c:grouping val="stacked"/>
        <c:varyColors val="0"/>
        <c:ser>
          <c:idx val="2"/>
          <c:order val="0"/>
          <c:tx>
            <c:strRef>
              <c:f>xResponsaveis!D1</c:f>
              <c:strCache>
                <c:ptCount val="1"/>
                <c:pt idx="0">
                  <c:v>LeadTime (Dias)</c:v>
                </c:pt>
              </c:strCache>
            </c:strRef>
          </c:tx>
          <c:spPr>
            <a:solidFill>
              <a:srgbClr val="8EA9D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xResponsaveis!A2:A9</c:f>
              <c:strCache>
                <c:ptCount val="8"/>
                <c:pt idx="0">
                  <c:v>Kauan Barros (11/11)</c:v>
                </c:pt>
                <c:pt idx="1">
                  <c:v>Vagner Kunz Cabral (7/7)</c:v>
                </c:pt>
                <c:pt idx="2">
                  <c:v>Felipe da Silva Cordeiro (4/4)</c:v>
                </c:pt>
                <c:pt idx="3">
                  <c:v>Judson Martins Santana (4/4)</c:v>
                </c:pt>
                <c:pt idx="4">
                  <c:v>Kassiano Vieira Malaquias (4/4)</c:v>
                </c:pt>
                <c:pt idx="5">
                  <c:v>Pedro Augusto da Silva Cirqueira (4/4)</c:v>
                </c:pt>
                <c:pt idx="6">
                  <c:v>Renata da Silva Santos (4/4)</c:v>
                </c:pt>
                <c:pt idx="7">
                  <c:v>Otávio Francisco Batista Martins (2/2)</c:v>
                </c:pt>
              </c:strCache>
            </c:strRef>
          </c:cat>
          <c:val>
            <c:numRef>
              <c:f>xResponsaveis!D2:D9</c:f>
              <c:numCache>
                <c:formatCode>General</c:formatCode>
                <c:ptCount val="8"/>
                <c:pt idx="0">
                  <c:v>25.91</c:v>
                </c:pt>
                <c:pt idx="1">
                  <c:v>14.43</c:v>
                </c:pt>
                <c:pt idx="2">
                  <c:v>20</c:v>
                </c:pt>
                <c:pt idx="3">
                  <c:v>20</c:v>
                </c:pt>
                <c:pt idx="4">
                  <c:v>18.5</c:v>
                </c:pt>
                <c:pt idx="5">
                  <c:v>25.75</c:v>
                </c:pt>
                <c:pt idx="6">
                  <c:v>25.5</c:v>
                </c:pt>
                <c:pt idx="7">
                  <c:v>18.5</c:v>
                </c:pt>
              </c:numCache>
            </c:numRef>
          </c:val>
          <c:extLst>
            <c:ext xmlns:c16="http://schemas.microsoft.com/office/drawing/2014/chart" uri="{C3380CC4-5D6E-409C-BE32-E72D297353CC}">
              <c16:uniqueId val="{00000018-A95F-4310-95BC-E48F3592F565}"/>
            </c:ext>
          </c:extLst>
        </c:ser>
        <c:ser>
          <c:idx val="3"/>
          <c:order val="1"/>
          <c:tx>
            <c:strRef>
              <c:f>xResponsaveis!E1</c:f>
              <c:strCache>
                <c:ptCount val="1"/>
                <c:pt idx="0">
                  <c:v>CycleTime (Dias)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xResponsaveis!A2:A9</c:f>
              <c:strCache>
                <c:ptCount val="8"/>
                <c:pt idx="0">
                  <c:v>Kauan Barros (11/11)</c:v>
                </c:pt>
                <c:pt idx="1">
                  <c:v>Vagner Kunz Cabral (7/7)</c:v>
                </c:pt>
                <c:pt idx="2">
                  <c:v>Felipe da Silva Cordeiro (4/4)</c:v>
                </c:pt>
                <c:pt idx="3">
                  <c:v>Judson Martins Santana (4/4)</c:v>
                </c:pt>
                <c:pt idx="4">
                  <c:v>Kassiano Vieira Malaquias (4/4)</c:v>
                </c:pt>
                <c:pt idx="5">
                  <c:v>Pedro Augusto da Silva Cirqueira (4/4)</c:v>
                </c:pt>
                <c:pt idx="6">
                  <c:v>Renata da Silva Santos (4/4)</c:v>
                </c:pt>
                <c:pt idx="7">
                  <c:v>Otávio Francisco Batista Martins (2/2)</c:v>
                </c:pt>
              </c:strCache>
            </c:strRef>
          </c:cat>
          <c:val>
            <c:numRef>
              <c:f>xResponsaveis!E2:E9</c:f>
              <c:numCache>
                <c:formatCode>General</c:formatCode>
                <c:ptCount val="8"/>
                <c:pt idx="0">
                  <c:v>3.64</c:v>
                </c:pt>
                <c:pt idx="1">
                  <c:v>11.43</c:v>
                </c:pt>
                <c:pt idx="2">
                  <c:v>17</c:v>
                </c:pt>
                <c:pt idx="3">
                  <c:v>16</c:v>
                </c:pt>
                <c:pt idx="4">
                  <c:v>7.5</c:v>
                </c:pt>
                <c:pt idx="5">
                  <c:v>6.5</c:v>
                </c:pt>
                <c:pt idx="6">
                  <c:v>6.33</c:v>
                </c:pt>
                <c:pt idx="7">
                  <c:v>13</c:v>
                </c:pt>
              </c:numCache>
            </c:numRef>
          </c:val>
          <c:extLst>
            <c:ext xmlns:c16="http://schemas.microsoft.com/office/drawing/2014/chart" uri="{C3380CC4-5D6E-409C-BE32-E72D297353CC}">
              <c16:uniqueId val="{00000019-A95F-4310-95BC-E48F3592F565}"/>
            </c:ext>
          </c:extLst>
        </c:ser>
        <c:dLbls>
          <c:showLegendKey val="0"/>
          <c:showVal val="0"/>
          <c:showCatName val="0"/>
          <c:showSerName val="0"/>
          <c:showPercent val="0"/>
          <c:showBubbleSize val="0"/>
        </c:dLbls>
        <c:gapWidth val="70"/>
        <c:overlap val="100"/>
        <c:axId val="1124577287"/>
        <c:axId val="1124579847"/>
      </c:barChart>
      <c:catAx>
        <c:axId val="1124577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24579847"/>
        <c:crosses val="autoZero"/>
        <c:auto val="1"/>
        <c:lblAlgn val="ctr"/>
        <c:lblOffset val="100"/>
        <c:noMultiLvlLbl val="0"/>
      </c:catAx>
      <c:valAx>
        <c:axId val="1124579847"/>
        <c:scaling>
          <c:orientation val="minMax"/>
        </c:scaling>
        <c:delete val="1"/>
        <c:axPos val="b"/>
        <c:numFmt formatCode="General" sourceLinked="1"/>
        <c:majorTickMark val="none"/>
        <c:minorTickMark val="none"/>
        <c:tickLblPos val="nextTo"/>
        <c:crossAx val="11245772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r>
              <a:rPr lang="en-US"/>
              <a:t>ENVOLVIMENTO DO TIME NA SPRINT (DISPONIBILIDADE PARA O PROJETO)</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endParaRPr lang="en-US"/>
        </a:p>
      </c:txPr>
    </c:title>
    <c:autoTitleDeleted val="0"/>
    <c:plotArea>
      <c:layout/>
      <c:radarChart>
        <c:radarStyle val="filled"/>
        <c:varyColors val="0"/>
        <c:ser>
          <c:idx val="0"/>
          <c:order val="0"/>
          <c:spPr>
            <a:solidFill>
              <a:srgbClr val="F4B084"/>
            </a:solidFill>
            <a:ln w="6350">
              <a:solidFill>
                <a:srgbClr val="305496"/>
              </a:solidFill>
              <a:prstDash val="solid"/>
            </a:ln>
            <a:effectLst/>
          </c:spPr>
          <c:cat>
            <c:strRef>
              <c:f>gp_Disponibilidade!$C$8:$C$17</c:f>
              <c:strCache>
                <c:ptCount val="10"/>
                <c:pt idx="0">
                  <c:v>Cabral</c:v>
                </c:pt>
                <c:pt idx="1">
                  <c:v>Mateus </c:v>
                </c:pt>
                <c:pt idx="2">
                  <c:v>Vanessa</c:v>
                </c:pt>
                <c:pt idx="3">
                  <c:v>Judson</c:v>
                </c:pt>
                <c:pt idx="4">
                  <c:v>Otávio</c:v>
                </c:pt>
                <c:pt idx="5">
                  <c:v>Felipe</c:v>
                </c:pt>
                <c:pt idx="6">
                  <c:v>Kauan</c:v>
                </c:pt>
                <c:pt idx="7">
                  <c:v>Kassiano</c:v>
                </c:pt>
                <c:pt idx="8">
                  <c:v>Pedro</c:v>
                </c:pt>
                <c:pt idx="9">
                  <c:v>Renata</c:v>
                </c:pt>
              </c:strCache>
            </c:strRef>
          </c:cat>
          <c:val>
            <c:numRef>
              <c:f>gp_Disponibilidade!$D$8:$D$17</c:f>
              <c:numCache>
                <c:formatCode>0.00%</c:formatCode>
                <c:ptCount val="10"/>
                <c:pt idx="0">
                  <c:v>0.5</c:v>
                </c:pt>
                <c:pt idx="1">
                  <c:v>0.1</c:v>
                </c:pt>
                <c:pt idx="2">
                  <c:v>0.1</c:v>
                </c:pt>
                <c:pt idx="3">
                  <c:v>0.33</c:v>
                </c:pt>
                <c:pt idx="4">
                  <c:v>0.33</c:v>
                </c:pt>
                <c:pt idx="5">
                  <c:v>0.33</c:v>
                </c:pt>
                <c:pt idx="6">
                  <c:v>1</c:v>
                </c:pt>
                <c:pt idx="7">
                  <c:v>1</c:v>
                </c:pt>
                <c:pt idx="8">
                  <c:v>0.5</c:v>
                </c:pt>
                <c:pt idx="9">
                  <c:v>0.2</c:v>
                </c:pt>
              </c:numCache>
            </c:numRef>
          </c:val>
          <c:extLst>
            <c:ext xmlns:c16="http://schemas.microsoft.com/office/drawing/2014/chart" uri="{C3380CC4-5D6E-409C-BE32-E72D297353CC}">
              <c16:uniqueId val="{00000003-1BCD-4074-B9D0-D332CEE2BA0F}"/>
            </c:ext>
          </c:extLst>
        </c:ser>
        <c:dLbls>
          <c:showLegendKey val="0"/>
          <c:showVal val="0"/>
          <c:showCatName val="0"/>
          <c:showSerName val="0"/>
          <c:showPercent val="0"/>
          <c:showBubbleSize val="0"/>
        </c:dLbls>
        <c:axId val="1784503303"/>
        <c:axId val="1784539143"/>
      </c:radarChart>
      <c:catAx>
        <c:axId val="1784503303"/>
        <c:scaling>
          <c:orientation val="minMax"/>
        </c:scaling>
        <c:delete val="0"/>
        <c:axPos val="b"/>
        <c:majorGridlines>
          <c:spPr>
            <a:ln w="9525" cap="flat" cmpd="sng" algn="ctr">
              <a:solidFill>
                <a:schemeClr val="tx1">
                  <a:lumMod val="15000"/>
                  <a:lumOff val="85000"/>
                </a:schemeClr>
              </a:solidFill>
              <a:round/>
            </a:ln>
            <a:effectLst/>
          </c:spPr>
        </c:majorGridlines>
        <c:minorGridlines>
          <c:spPr>
            <a:ln w="6350"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539143"/>
        <c:crosses val="autoZero"/>
        <c:auto val="1"/>
        <c:lblAlgn val="ctr"/>
        <c:lblOffset val="100"/>
        <c:noMultiLvlLbl val="0"/>
      </c:catAx>
      <c:valAx>
        <c:axId val="1784539143"/>
        <c:scaling>
          <c:orientation val="minMax"/>
        </c:scaling>
        <c:delete val="1"/>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crossAx val="1784503303"/>
        <c:crosses val="autoZero"/>
        <c:crossBetween val="between"/>
      </c:valAx>
      <c:spPr>
        <a:noFill/>
        <a:ln>
          <a:noFill/>
        </a:ln>
        <a:effectLst/>
      </c:spPr>
    </c:plotArea>
    <c:plotVisOnly val="1"/>
    <c:dispBlanksAs val="gap"/>
    <c:showDLblsOverMax val="0"/>
  </c:chart>
  <c:spPr>
    <a:no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r>
              <a:rPr lang="en-US"/>
              <a:t>WIP - WORK IN PROGRESS (buckets)</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endParaRPr lang="en-US"/>
        </a:p>
      </c:txPr>
    </c:title>
    <c:autoTitleDeleted val="0"/>
    <c:plotArea>
      <c:layout/>
      <c:areaChart>
        <c:grouping val="stacked"/>
        <c:varyColors val="0"/>
        <c:ser>
          <c:idx val="0"/>
          <c:order val="0"/>
          <c:tx>
            <c:strRef>
              <c:f>xWIP!$B$1</c:f>
              <c:strCache>
                <c:ptCount val="1"/>
                <c:pt idx="0">
                  <c:v>Concluído</c:v>
                </c:pt>
              </c:strCache>
            </c:strRef>
          </c:tx>
          <c:spPr>
            <a:solidFill>
              <a:schemeClr val="accent1"/>
            </a:solidFill>
            <a:ln>
              <a:noFill/>
            </a:ln>
            <a:effectLst/>
          </c:spPr>
          <c:cat>
            <c:numRef>
              <c:f>xWIP!$A$2:$A$32</c:f>
              <c:numCache>
                <c:formatCode>m/d/yyyy</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xWIP!$B$2:$B$32</c:f>
              <c:numCache>
                <c:formatCode>General</c:formatCode>
                <c:ptCount val="31"/>
                <c:pt idx="0">
                  <c:v>0</c:v>
                </c:pt>
                <c:pt idx="1">
                  <c:v>0</c:v>
                </c:pt>
                <c:pt idx="2">
                  <c:v>0</c:v>
                </c:pt>
                <c:pt idx="3">
                  <c:v>0</c:v>
                </c:pt>
                <c:pt idx="4">
                  <c:v>2</c:v>
                </c:pt>
                <c:pt idx="5">
                  <c:v>3</c:v>
                </c:pt>
                <c:pt idx="6">
                  <c:v>3</c:v>
                </c:pt>
                <c:pt idx="7">
                  <c:v>3</c:v>
                </c:pt>
                <c:pt idx="8">
                  <c:v>4</c:v>
                </c:pt>
                <c:pt idx="9">
                  <c:v>10</c:v>
                </c:pt>
                <c:pt idx="10">
                  <c:v>10</c:v>
                </c:pt>
                <c:pt idx="11">
                  <c:v>10</c:v>
                </c:pt>
                <c:pt idx="12">
                  <c:v>12</c:v>
                </c:pt>
                <c:pt idx="13">
                  <c:v>12</c:v>
                </c:pt>
                <c:pt idx="14">
                  <c:v>12</c:v>
                </c:pt>
                <c:pt idx="15">
                  <c:v>17</c:v>
                </c:pt>
                <c:pt idx="16">
                  <c:v>22</c:v>
                </c:pt>
                <c:pt idx="17">
                  <c:v>25</c:v>
                </c:pt>
                <c:pt idx="18">
                  <c:v>26</c:v>
                </c:pt>
                <c:pt idx="19">
                  <c:v>27</c:v>
                </c:pt>
                <c:pt idx="20">
                  <c:v>27</c:v>
                </c:pt>
                <c:pt idx="21">
                  <c:v>27</c:v>
                </c:pt>
                <c:pt idx="22">
                  <c:v>33</c:v>
                </c:pt>
                <c:pt idx="23">
                  <c:v>33</c:v>
                </c:pt>
                <c:pt idx="24">
                  <c:v>40</c:v>
                </c:pt>
                <c:pt idx="25">
                  <c:v>40</c:v>
                </c:pt>
                <c:pt idx="26">
                  <c:v>40</c:v>
                </c:pt>
                <c:pt idx="27">
                  <c:v>40</c:v>
                </c:pt>
                <c:pt idx="28">
                  <c:v>40</c:v>
                </c:pt>
                <c:pt idx="29">
                  <c:v>40</c:v>
                </c:pt>
                <c:pt idx="30">
                  <c:v>40</c:v>
                </c:pt>
              </c:numCache>
            </c:numRef>
          </c:val>
          <c:extLst>
            <c:ext xmlns:c16="http://schemas.microsoft.com/office/drawing/2014/chart" uri="{C3380CC4-5D6E-409C-BE32-E72D297353CC}">
              <c16:uniqueId val="{0000004B-82CC-496D-8E0A-8BC4E2B1026B}"/>
            </c:ext>
          </c:extLst>
        </c:ser>
        <c:ser>
          <c:idx val="1"/>
          <c:order val="1"/>
          <c:tx>
            <c:strRef>
              <c:f>xWIP!$C$1</c:f>
              <c:strCache>
                <c:ptCount val="1"/>
                <c:pt idx="0">
                  <c:v>Em Desenvolvimento</c:v>
                </c:pt>
              </c:strCache>
            </c:strRef>
          </c:tx>
          <c:spPr>
            <a:solidFill>
              <a:schemeClr val="accent2"/>
            </a:solidFill>
            <a:ln>
              <a:noFill/>
            </a:ln>
            <a:effectLst/>
          </c:spPr>
          <c:cat>
            <c:numRef>
              <c:f>xWIP!$A$2:$A$32</c:f>
              <c:numCache>
                <c:formatCode>m/d/yyyy</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xWIP!$C$2:$C$32</c:f>
              <c:numCache>
                <c:formatCode>General</c:formatCode>
                <c:ptCount val="31"/>
                <c:pt idx="0">
                  <c:v>0</c:v>
                </c:pt>
                <c:pt idx="1">
                  <c:v>4</c:v>
                </c:pt>
                <c:pt idx="2">
                  <c:v>4</c:v>
                </c:pt>
                <c:pt idx="3">
                  <c:v>4</c:v>
                </c:pt>
                <c:pt idx="4">
                  <c:v>3</c:v>
                </c:pt>
                <c:pt idx="5">
                  <c:v>3</c:v>
                </c:pt>
                <c:pt idx="6">
                  <c:v>3</c:v>
                </c:pt>
                <c:pt idx="7">
                  <c:v>3</c:v>
                </c:pt>
                <c:pt idx="8">
                  <c:v>3</c:v>
                </c:pt>
                <c:pt idx="9">
                  <c:v>3</c:v>
                </c:pt>
                <c:pt idx="10">
                  <c:v>4</c:v>
                </c:pt>
                <c:pt idx="11">
                  <c:v>4</c:v>
                </c:pt>
                <c:pt idx="12">
                  <c:v>3</c:v>
                </c:pt>
                <c:pt idx="13">
                  <c:v>3</c:v>
                </c:pt>
                <c:pt idx="14">
                  <c:v>3</c:v>
                </c:pt>
                <c:pt idx="15">
                  <c:v>3</c:v>
                </c:pt>
                <c:pt idx="16">
                  <c:v>2</c:v>
                </c:pt>
                <c:pt idx="17">
                  <c:v>2</c:v>
                </c:pt>
                <c:pt idx="18">
                  <c:v>2</c:v>
                </c:pt>
                <c:pt idx="19">
                  <c:v>1</c:v>
                </c:pt>
                <c:pt idx="20">
                  <c:v>1</c:v>
                </c:pt>
                <c:pt idx="21">
                  <c:v>1</c:v>
                </c:pt>
                <c:pt idx="22">
                  <c:v>3</c:v>
                </c:pt>
                <c:pt idx="23">
                  <c:v>3</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4D-82CC-496D-8E0A-8BC4E2B1026B}"/>
            </c:ext>
          </c:extLst>
        </c:ser>
        <c:ser>
          <c:idx val="2"/>
          <c:order val="2"/>
          <c:tx>
            <c:strRef>
              <c:f>xWIP!$D$1</c:f>
              <c:strCache>
                <c:ptCount val="1"/>
                <c:pt idx="0">
                  <c:v>Em Refinamento</c:v>
                </c:pt>
              </c:strCache>
            </c:strRef>
          </c:tx>
          <c:spPr>
            <a:solidFill>
              <a:schemeClr val="accent3"/>
            </a:solidFill>
            <a:ln>
              <a:noFill/>
            </a:ln>
            <a:effectLst/>
          </c:spPr>
          <c:cat>
            <c:numRef>
              <c:f>xWIP!$A$2:$A$32</c:f>
              <c:numCache>
                <c:formatCode>m/d/yyyy</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xWIP!$D$2:$D$32</c:f>
              <c:numCache>
                <c:formatCode>General</c:formatCode>
                <c:ptCount val="31"/>
                <c:pt idx="0">
                  <c:v>7</c:v>
                </c:pt>
                <c:pt idx="1">
                  <c:v>7</c:v>
                </c:pt>
                <c:pt idx="2">
                  <c:v>7</c:v>
                </c:pt>
                <c:pt idx="3">
                  <c:v>7</c:v>
                </c:pt>
                <c:pt idx="4">
                  <c:v>7</c:v>
                </c:pt>
                <c:pt idx="5">
                  <c:v>7</c:v>
                </c:pt>
                <c:pt idx="6">
                  <c:v>7</c:v>
                </c:pt>
                <c:pt idx="7">
                  <c:v>7</c:v>
                </c:pt>
                <c:pt idx="8">
                  <c:v>7</c:v>
                </c:pt>
                <c:pt idx="9">
                  <c:v>1</c:v>
                </c:pt>
                <c:pt idx="10">
                  <c:v>1</c:v>
                </c:pt>
                <c:pt idx="11">
                  <c:v>1</c:v>
                </c:pt>
                <c:pt idx="12">
                  <c:v>1</c:v>
                </c:pt>
                <c:pt idx="13">
                  <c:v>1</c:v>
                </c:pt>
                <c:pt idx="14">
                  <c:v>1</c:v>
                </c:pt>
                <c:pt idx="15">
                  <c:v>1</c:v>
                </c:pt>
                <c:pt idx="16">
                  <c:v>1</c:v>
                </c:pt>
                <c:pt idx="17">
                  <c:v>1</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4F-82CC-496D-8E0A-8BC4E2B1026B}"/>
            </c:ext>
          </c:extLst>
        </c:ser>
        <c:ser>
          <c:idx val="3"/>
          <c:order val="3"/>
          <c:tx>
            <c:strRef>
              <c:f>xWIP!$E$1</c:f>
              <c:strCache>
                <c:ptCount val="1"/>
                <c:pt idx="0">
                  <c:v>Gestão</c:v>
                </c:pt>
              </c:strCache>
            </c:strRef>
          </c:tx>
          <c:spPr>
            <a:solidFill>
              <a:schemeClr val="accent4"/>
            </a:solidFill>
            <a:ln>
              <a:noFill/>
            </a:ln>
            <a:effectLst/>
          </c:spPr>
          <c:cat>
            <c:numRef>
              <c:f>xWIP!$A$2:$A$32</c:f>
              <c:numCache>
                <c:formatCode>m/d/yyyy</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xWIP!$E$2:$E$32</c:f>
              <c:numCache>
                <c:formatCode>General</c:formatCode>
                <c:ptCount val="31"/>
                <c:pt idx="0">
                  <c:v>1</c:v>
                </c:pt>
                <c:pt idx="1">
                  <c:v>1</c:v>
                </c:pt>
                <c:pt idx="2">
                  <c:v>1</c:v>
                </c:pt>
                <c:pt idx="3">
                  <c:v>1</c:v>
                </c:pt>
                <c:pt idx="4">
                  <c:v>1</c:v>
                </c:pt>
                <c:pt idx="5">
                  <c:v>1</c:v>
                </c:pt>
                <c:pt idx="6">
                  <c:v>1</c:v>
                </c:pt>
                <c:pt idx="7">
                  <c:v>1</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51-82CC-496D-8E0A-8BC4E2B1026B}"/>
            </c:ext>
          </c:extLst>
        </c:ser>
        <c:ser>
          <c:idx val="4"/>
          <c:order val="4"/>
          <c:tx>
            <c:strRef>
              <c:f>xWIP!$F$1</c:f>
              <c:strCache>
                <c:ptCount val="1"/>
                <c:pt idx="0">
                  <c:v>UX/UI</c:v>
                </c:pt>
              </c:strCache>
            </c:strRef>
          </c:tx>
          <c:spPr>
            <a:solidFill>
              <a:schemeClr val="accent5"/>
            </a:solidFill>
            <a:ln>
              <a:noFill/>
            </a:ln>
            <a:effectLst/>
          </c:spPr>
          <c:cat>
            <c:numRef>
              <c:f>xWIP!$A$2:$A$32</c:f>
              <c:numCache>
                <c:formatCode>m/d/yyyy</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xWIP!$F$2:$F$32</c:f>
              <c:numCache>
                <c:formatCode>General</c:formatCode>
                <c:ptCount val="31"/>
                <c:pt idx="0">
                  <c:v>2</c:v>
                </c:pt>
                <c:pt idx="1">
                  <c:v>6</c:v>
                </c:pt>
                <c:pt idx="2">
                  <c:v>8</c:v>
                </c:pt>
                <c:pt idx="3">
                  <c:v>8</c:v>
                </c:pt>
                <c:pt idx="4">
                  <c:v>8</c:v>
                </c:pt>
                <c:pt idx="5">
                  <c:v>8</c:v>
                </c:pt>
                <c:pt idx="6">
                  <c:v>8</c:v>
                </c:pt>
                <c:pt idx="7">
                  <c:v>8</c:v>
                </c:pt>
                <c:pt idx="8">
                  <c:v>8</c:v>
                </c:pt>
                <c:pt idx="9">
                  <c:v>8</c:v>
                </c:pt>
                <c:pt idx="10">
                  <c:v>8</c:v>
                </c:pt>
                <c:pt idx="11">
                  <c:v>8</c:v>
                </c:pt>
                <c:pt idx="12">
                  <c:v>8</c:v>
                </c:pt>
                <c:pt idx="13">
                  <c:v>8</c:v>
                </c:pt>
                <c:pt idx="14">
                  <c:v>8</c:v>
                </c:pt>
                <c:pt idx="15">
                  <c:v>5</c:v>
                </c:pt>
                <c:pt idx="16">
                  <c:v>4</c:v>
                </c:pt>
                <c:pt idx="17">
                  <c:v>3</c:v>
                </c:pt>
                <c:pt idx="18">
                  <c:v>4</c:v>
                </c:pt>
                <c:pt idx="19">
                  <c:v>4</c:v>
                </c:pt>
                <c:pt idx="20">
                  <c:v>4</c:v>
                </c:pt>
                <c:pt idx="21">
                  <c:v>4</c:v>
                </c:pt>
                <c:pt idx="22">
                  <c:v>3</c:v>
                </c:pt>
                <c:pt idx="23">
                  <c:v>4</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53-82CC-496D-8E0A-8BC4E2B1026B}"/>
            </c:ext>
          </c:extLst>
        </c:ser>
        <c:dLbls>
          <c:showLegendKey val="0"/>
          <c:showVal val="0"/>
          <c:showCatName val="0"/>
          <c:showSerName val="0"/>
          <c:showPercent val="0"/>
          <c:showBubbleSize val="0"/>
        </c:dLbls>
        <c:axId val="1914919944"/>
        <c:axId val="1914955784"/>
      </c:areaChart>
      <c:dateAx>
        <c:axId val="1914919944"/>
        <c:scaling>
          <c:orientation val="minMax"/>
        </c:scaling>
        <c:delete val="0"/>
        <c:axPos val="b"/>
        <c:majorGridlines>
          <c:spPr>
            <a:ln w="3175" cap="flat" cmpd="sng" algn="ctr">
              <a:solidFill>
                <a:srgbClr val="BFBFBF"/>
              </a:solidFill>
              <a:prstDash val="solid"/>
              <a:round/>
            </a:ln>
            <a:effectLst/>
          </c:spPr>
        </c:majorGridlines>
        <c:numFmt formatCode="m/d/yyyy"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808080"/>
                </a:solidFill>
                <a:latin typeface="+mn-lt"/>
                <a:ea typeface="+mn-ea"/>
                <a:cs typeface="+mn-cs"/>
              </a:defRPr>
            </a:pPr>
            <a:endParaRPr lang="en-US"/>
          </a:p>
        </c:txPr>
        <c:crossAx val="1914955784"/>
        <c:crosses val="autoZero"/>
        <c:auto val="1"/>
        <c:lblOffset val="100"/>
        <c:baseTimeUnit val="days"/>
      </c:dateAx>
      <c:valAx>
        <c:axId val="1914955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FBFBF"/>
                </a:solidFill>
                <a:latin typeface="+mn-lt"/>
                <a:ea typeface="+mn-ea"/>
                <a:cs typeface="+mn-cs"/>
              </a:defRPr>
            </a:pPr>
            <a:endParaRPr lang="en-US"/>
          </a:p>
        </c:txPr>
        <c:crossAx val="191491994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r>
              <a:rPr lang="en-US"/>
              <a:t>VELOCITY - EVOLUÇÃO DE STORYPOINTS NO PROJETO POR CATEGORIA</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endParaRPr lang="en-US"/>
        </a:p>
      </c:txPr>
    </c:title>
    <c:autoTitleDeleted val="0"/>
    <c:plotArea>
      <c:layout/>
      <c:lineChart>
        <c:grouping val="standard"/>
        <c:varyColors val="0"/>
        <c:ser>
          <c:idx val="0"/>
          <c:order val="0"/>
          <c:tx>
            <c:strRef>
              <c:f>Report!$G$36</c:f>
              <c:strCache>
                <c:ptCount val="1"/>
                <c:pt idx="0">
                  <c:v>PO (DOCS, LINKS, LEIS, ETC.)</c:v>
                </c:pt>
              </c:strCache>
            </c:strRef>
          </c:tx>
          <c:spPr>
            <a:ln w="28575" cap="rnd">
              <a:solidFill>
                <a:schemeClr val="accent1"/>
              </a:solidFill>
              <a:round/>
            </a:ln>
            <a:effectLst/>
          </c:spPr>
          <c:marker>
            <c:symbol val="none"/>
          </c:marker>
          <c:val>
            <c:numRef>
              <c:f>Report!$K$36:$O$36</c:f>
              <c:numCache>
                <c:formatCode>General</c:formatCode>
                <c:ptCount val="5"/>
                <c:pt idx="0">
                  <c:v>0</c:v>
                </c:pt>
                <c:pt idx="1">
                  <c:v>0</c:v>
                </c:pt>
                <c:pt idx="2">
                  <c:v>0</c:v>
                </c:pt>
                <c:pt idx="3">
                  <c:v>48</c:v>
                </c:pt>
                <c:pt idx="4">
                  <c:v>48</c:v>
                </c:pt>
              </c:numCache>
            </c:numRef>
          </c:val>
          <c:smooth val="0"/>
          <c:extLst>
            <c:ext xmlns:c16="http://schemas.microsoft.com/office/drawing/2014/chart" uri="{C3380CC4-5D6E-409C-BE32-E72D297353CC}">
              <c16:uniqueId val="{00000031-2C17-42CA-9C19-AEDF1C7F866D}"/>
            </c:ext>
          </c:extLst>
        </c:ser>
        <c:ser>
          <c:idx val="1"/>
          <c:order val="1"/>
          <c:tx>
            <c:strRef>
              <c:f>Report!$G$37</c:f>
              <c:strCache>
                <c:ptCount val="1"/>
                <c:pt idx="0">
                  <c:v>REQUISITOS</c:v>
                </c:pt>
              </c:strCache>
            </c:strRef>
          </c:tx>
          <c:spPr>
            <a:ln w="28575" cap="rnd">
              <a:solidFill>
                <a:schemeClr val="accent2"/>
              </a:solidFill>
              <a:round/>
            </a:ln>
            <a:effectLst/>
          </c:spPr>
          <c:marker>
            <c:symbol val="none"/>
          </c:marker>
          <c:val>
            <c:numRef>
              <c:f>Report!$K$37:$O$37</c:f>
              <c:numCache>
                <c:formatCode>General</c:formatCode>
                <c:ptCount val="5"/>
                <c:pt idx="0">
                  <c:v>25</c:v>
                </c:pt>
                <c:pt idx="1">
                  <c:v>25</c:v>
                </c:pt>
                <c:pt idx="2">
                  <c:v>25</c:v>
                </c:pt>
                <c:pt idx="3">
                  <c:v>48</c:v>
                </c:pt>
                <c:pt idx="4">
                  <c:v>48</c:v>
                </c:pt>
              </c:numCache>
            </c:numRef>
          </c:val>
          <c:smooth val="0"/>
          <c:extLst>
            <c:ext xmlns:c16="http://schemas.microsoft.com/office/drawing/2014/chart" uri="{C3380CC4-5D6E-409C-BE32-E72D297353CC}">
              <c16:uniqueId val="{00000033-2C17-42CA-9C19-AEDF1C7F866D}"/>
            </c:ext>
          </c:extLst>
        </c:ser>
        <c:ser>
          <c:idx val="2"/>
          <c:order val="2"/>
          <c:tx>
            <c:strRef>
              <c:f>Report!$G$38</c:f>
              <c:strCache>
                <c:ptCount val="1"/>
                <c:pt idx="0">
                  <c:v>UX/UI  (DESKTOP)</c:v>
                </c:pt>
              </c:strCache>
            </c:strRef>
          </c:tx>
          <c:spPr>
            <a:ln w="28575" cap="rnd">
              <a:solidFill>
                <a:schemeClr val="accent3"/>
              </a:solidFill>
              <a:round/>
            </a:ln>
            <a:effectLst/>
          </c:spPr>
          <c:marker>
            <c:symbol val="none"/>
          </c:marker>
          <c:val>
            <c:numRef>
              <c:f>Report!$K$38:$O$38</c:f>
              <c:numCache>
                <c:formatCode>General</c:formatCode>
                <c:ptCount val="5"/>
                <c:pt idx="0">
                  <c:v>16</c:v>
                </c:pt>
                <c:pt idx="1">
                  <c:v>16</c:v>
                </c:pt>
                <c:pt idx="2">
                  <c:v>16</c:v>
                </c:pt>
                <c:pt idx="3">
                  <c:v>22</c:v>
                </c:pt>
                <c:pt idx="4">
                  <c:v>22</c:v>
                </c:pt>
              </c:numCache>
            </c:numRef>
          </c:val>
          <c:smooth val="0"/>
          <c:extLst>
            <c:ext xmlns:c16="http://schemas.microsoft.com/office/drawing/2014/chart" uri="{C3380CC4-5D6E-409C-BE32-E72D297353CC}">
              <c16:uniqueId val="{00000035-2C17-42CA-9C19-AEDF1C7F866D}"/>
            </c:ext>
          </c:extLst>
        </c:ser>
        <c:ser>
          <c:idx val="3"/>
          <c:order val="3"/>
          <c:tx>
            <c:strRef>
              <c:f>Report!$G$39</c:f>
              <c:strCache>
                <c:ptCount val="1"/>
                <c:pt idx="0">
                  <c:v>UX/UI  (MOBILE)</c:v>
                </c:pt>
              </c:strCache>
            </c:strRef>
          </c:tx>
          <c:spPr>
            <a:ln w="28575" cap="rnd">
              <a:solidFill>
                <a:schemeClr val="accent4"/>
              </a:solidFill>
              <a:round/>
            </a:ln>
            <a:effectLst/>
          </c:spPr>
          <c:marker>
            <c:symbol val="none"/>
          </c:marker>
          <c:val>
            <c:numRef>
              <c:f>Report!$K$39:$O$39</c:f>
              <c:numCache>
                <c:formatCode>General</c:formatCode>
                <c:ptCount val="5"/>
                <c:pt idx="0">
                  <c:v>16</c:v>
                </c:pt>
                <c:pt idx="1">
                  <c:v>16</c:v>
                </c:pt>
                <c:pt idx="2">
                  <c:v>16</c:v>
                </c:pt>
                <c:pt idx="3">
                  <c:v>22</c:v>
                </c:pt>
                <c:pt idx="4">
                  <c:v>22</c:v>
                </c:pt>
              </c:numCache>
            </c:numRef>
          </c:val>
          <c:smooth val="0"/>
          <c:extLst>
            <c:ext xmlns:c16="http://schemas.microsoft.com/office/drawing/2014/chart" uri="{C3380CC4-5D6E-409C-BE32-E72D297353CC}">
              <c16:uniqueId val="{00000037-2C17-42CA-9C19-AEDF1C7F866D}"/>
            </c:ext>
          </c:extLst>
        </c:ser>
        <c:ser>
          <c:idx val="4"/>
          <c:order val="4"/>
          <c:tx>
            <c:strRef>
              <c:f>Report!$G$40</c:f>
              <c:strCache>
                <c:ptCount val="1"/>
                <c:pt idx="0">
                  <c:v>BENCHMARK COMPONENTES - DEV</c:v>
                </c:pt>
              </c:strCache>
            </c:strRef>
          </c:tx>
          <c:spPr>
            <a:ln w="28575" cap="rnd">
              <a:solidFill>
                <a:schemeClr val="accent5"/>
              </a:solidFill>
              <a:round/>
            </a:ln>
            <a:effectLst/>
          </c:spPr>
          <c:marker>
            <c:symbol val="none"/>
          </c:marker>
          <c:val>
            <c:numRef>
              <c:f>Report!$K$40:$O$40</c:f>
              <c:numCache>
                <c:formatCode>General</c:formatCode>
                <c:ptCount val="5"/>
                <c:pt idx="0">
                  <c:v>24</c:v>
                </c:pt>
                <c:pt idx="1">
                  <c:v>24</c:v>
                </c:pt>
                <c:pt idx="2">
                  <c:v>24</c:v>
                </c:pt>
                <c:pt idx="3">
                  <c:v>8</c:v>
                </c:pt>
                <c:pt idx="4">
                  <c:v>8</c:v>
                </c:pt>
              </c:numCache>
            </c:numRef>
          </c:val>
          <c:smooth val="0"/>
          <c:extLst>
            <c:ext xmlns:c16="http://schemas.microsoft.com/office/drawing/2014/chart" uri="{C3380CC4-5D6E-409C-BE32-E72D297353CC}">
              <c16:uniqueId val="{00000039-2C17-42CA-9C19-AEDF1C7F866D}"/>
            </c:ext>
          </c:extLst>
        </c:ser>
        <c:ser>
          <c:idx val="5"/>
          <c:order val="5"/>
          <c:tx>
            <c:strRef>
              <c:f>Report!$G$41</c:f>
              <c:strCache>
                <c:ptCount val="1"/>
                <c:pt idx="0">
                  <c:v>CONSTRUCAO COMPONENTES - DEV</c:v>
                </c:pt>
              </c:strCache>
            </c:strRef>
          </c:tx>
          <c:spPr>
            <a:ln w="28575" cap="rnd">
              <a:solidFill>
                <a:schemeClr val="accent6"/>
              </a:solidFill>
              <a:round/>
            </a:ln>
            <a:effectLst/>
          </c:spPr>
          <c:marker>
            <c:symbol val="none"/>
          </c:marker>
          <c:val>
            <c:numRef>
              <c:f>Report!$K$41:$O$41</c:f>
              <c:numCache>
                <c:formatCode>General</c:formatCode>
                <c:ptCount val="5"/>
                <c:pt idx="0">
                  <c:v>24</c:v>
                </c:pt>
                <c:pt idx="1">
                  <c:v>24</c:v>
                </c:pt>
                <c:pt idx="2">
                  <c:v>24</c:v>
                </c:pt>
                <c:pt idx="3">
                  <c:v>23</c:v>
                </c:pt>
                <c:pt idx="4">
                  <c:v>23</c:v>
                </c:pt>
              </c:numCache>
            </c:numRef>
          </c:val>
          <c:smooth val="0"/>
          <c:extLst>
            <c:ext xmlns:c16="http://schemas.microsoft.com/office/drawing/2014/chart" uri="{C3380CC4-5D6E-409C-BE32-E72D297353CC}">
              <c16:uniqueId val="{0000003B-2C17-42CA-9C19-AEDF1C7F866D}"/>
            </c:ext>
          </c:extLst>
        </c:ser>
        <c:ser>
          <c:idx val="6"/>
          <c:order val="6"/>
          <c:tx>
            <c:strRef>
              <c:f>Report!$G$42</c:f>
              <c:strCache>
                <c:ptCount val="1"/>
                <c:pt idx="0">
                  <c:v>TESTES- DEV</c:v>
                </c:pt>
              </c:strCache>
            </c:strRef>
          </c:tx>
          <c:spPr>
            <a:ln w="28575" cap="rnd">
              <a:solidFill>
                <a:schemeClr val="accent1">
                  <a:lumMod val="60000"/>
                </a:schemeClr>
              </a:solidFill>
              <a:round/>
            </a:ln>
            <a:effectLst/>
          </c:spPr>
          <c:marker>
            <c:symbol val="none"/>
          </c:marker>
          <c:val>
            <c:numRef>
              <c:f>Report!$K$42:$O$42</c:f>
              <c:numCache>
                <c:formatCode>General</c:formatCode>
                <c:ptCount val="5"/>
                <c:pt idx="0">
                  <c:v>24</c:v>
                </c:pt>
                <c:pt idx="1">
                  <c:v>24</c:v>
                </c:pt>
                <c:pt idx="2">
                  <c:v>24</c:v>
                </c:pt>
                <c:pt idx="3">
                  <c:v>8</c:v>
                </c:pt>
                <c:pt idx="4">
                  <c:v>8</c:v>
                </c:pt>
              </c:numCache>
            </c:numRef>
          </c:val>
          <c:smooth val="0"/>
          <c:extLst>
            <c:ext xmlns:c16="http://schemas.microsoft.com/office/drawing/2014/chart" uri="{C3380CC4-5D6E-409C-BE32-E72D297353CC}">
              <c16:uniqueId val="{0000003D-2C17-42CA-9C19-AEDF1C7F866D}"/>
            </c:ext>
          </c:extLst>
        </c:ser>
        <c:ser>
          <c:idx val="7"/>
          <c:order val="7"/>
          <c:tx>
            <c:strRef>
              <c:f>Report!$G$43</c:f>
              <c:strCache>
                <c:ptCount val="1"/>
                <c:pt idx="0">
                  <c:v>REGISTRO e PUBLICAÇÃO (Storybook) - DEV</c:v>
                </c:pt>
              </c:strCache>
            </c:strRef>
          </c:tx>
          <c:spPr>
            <a:ln w="28575" cap="rnd">
              <a:solidFill>
                <a:schemeClr val="accent2">
                  <a:lumMod val="60000"/>
                </a:schemeClr>
              </a:solidFill>
              <a:round/>
            </a:ln>
            <a:effectLst/>
          </c:spPr>
          <c:marker>
            <c:symbol val="none"/>
          </c:marker>
          <c:val>
            <c:numRef>
              <c:f>Report!$K$43:$O$43</c:f>
              <c:numCache>
                <c:formatCode>General</c:formatCode>
                <c:ptCount val="5"/>
                <c:pt idx="0">
                  <c:v>24</c:v>
                </c:pt>
                <c:pt idx="1">
                  <c:v>24</c:v>
                </c:pt>
                <c:pt idx="2">
                  <c:v>24</c:v>
                </c:pt>
                <c:pt idx="3">
                  <c:v>19</c:v>
                </c:pt>
                <c:pt idx="4">
                  <c:v>19</c:v>
                </c:pt>
              </c:numCache>
            </c:numRef>
          </c:val>
          <c:smooth val="0"/>
          <c:extLst>
            <c:ext xmlns:c16="http://schemas.microsoft.com/office/drawing/2014/chart" uri="{C3380CC4-5D6E-409C-BE32-E72D297353CC}">
              <c16:uniqueId val="{0000003F-2C17-42CA-9C19-AEDF1C7F866D}"/>
            </c:ext>
          </c:extLst>
        </c:ser>
        <c:ser>
          <c:idx val="8"/>
          <c:order val="8"/>
          <c:tx>
            <c:strRef>
              <c:f>Report!$G$44</c:f>
              <c:strCache>
                <c:ptCount val="1"/>
                <c:pt idx="0">
                  <c:v>0</c:v>
                </c:pt>
              </c:strCache>
            </c:strRef>
          </c:tx>
          <c:spPr>
            <a:ln w="28575" cap="rnd">
              <a:solidFill>
                <a:schemeClr val="accent3">
                  <a:lumMod val="60000"/>
                </a:schemeClr>
              </a:solidFill>
              <a:round/>
            </a:ln>
            <a:effectLst/>
          </c:spPr>
          <c:marker>
            <c:symbol val="none"/>
          </c:marker>
          <c:val>
            <c:numRef>
              <c:f>Report!$K$44:$O$44</c:f>
              <c:numCache>
                <c:formatCode>General</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41-2C17-42CA-9C19-AEDF1C7F866D}"/>
            </c:ext>
          </c:extLst>
        </c:ser>
        <c:ser>
          <c:idx val="9"/>
          <c:order val="9"/>
          <c:tx>
            <c:strRef>
              <c:f>Report!$G$45</c:f>
              <c:strCache>
                <c:ptCount val="1"/>
                <c:pt idx="0">
                  <c:v>0</c:v>
                </c:pt>
              </c:strCache>
            </c:strRef>
          </c:tx>
          <c:spPr>
            <a:ln w="28575" cap="rnd">
              <a:solidFill>
                <a:schemeClr val="accent4">
                  <a:lumMod val="60000"/>
                </a:schemeClr>
              </a:solidFill>
              <a:round/>
            </a:ln>
            <a:effectLst/>
          </c:spPr>
          <c:marker>
            <c:symbol val="none"/>
          </c:marker>
          <c:val>
            <c:numRef>
              <c:f>Report!$K$45:$O$45</c:f>
              <c:numCache>
                <c:formatCode>General</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43-2C17-42CA-9C19-AEDF1C7F866D}"/>
            </c:ext>
          </c:extLst>
        </c:ser>
        <c:ser>
          <c:idx val="10"/>
          <c:order val="10"/>
          <c:tx>
            <c:strRef>
              <c:f>Report!$G$46</c:f>
              <c:strCache>
                <c:ptCount val="1"/>
                <c:pt idx="0">
                  <c:v>0</c:v>
                </c:pt>
              </c:strCache>
            </c:strRef>
          </c:tx>
          <c:spPr>
            <a:ln w="28575" cap="rnd">
              <a:solidFill>
                <a:schemeClr val="accent5">
                  <a:lumMod val="60000"/>
                </a:schemeClr>
              </a:solidFill>
              <a:round/>
            </a:ln>
            <a:effectLst/>
          </c:spPr>
          <c:marker>
            <c:symbol val="none"/>
          </c:marker>
          <c:val>
            <c:numRef>
              <c:f>Report!$K$46:$O$46</c:f>
              <c:numCache>
                <c:formatCode>General</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45-2C17-42CA-9C19-AEDF1C7F866D}"/>
            </c:ext>
          </c:extLst>
        </c:ser>
        <c:dLbls>
          <c:showLegendKey val="0"/>
          <c:showVal val="0"/>
          <c:showCatName val="0"/>
          <c:showSerName val="0"/>
          <c:showPercent val="0"/>
          <c:showBubbleSize val="0"/>
        </c:dLbls>
        <c:smooth val="0"/>
        <c:axId val="1412299784"/>
        <c:axId val="955644935"/>
      </c:lineChart>
      <c:catAx>
        <c:axId val="1412299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Marcos de medição (sprints)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644935"/>
        <c:crosses val="autoZero"/>
        <c:auto val="1"/>
        <c:lblAlgn val="ctr"/>
        <c:lblOffset val="100"/>
        <c:noMultiLvlLbl val="0"/>
      </c:catAx>
      <c:valAx>
        <c:axId val="955644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299784"/>
        <c:crosses val="autoZero"/>
        <c:crossBetween val="between"/>
        <c:majorUnit val="10"/>
      </c:valAx>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r>
              <a:rPr lang="en-US"/>
              <a:t>COLABORAÇÃO DIRETA NO PROJETO</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endParaRPr lang="en-US"/>
        </a:p>
      </c:txPr>
    </c:title>
    <c:autoTitleDeleted val="0"/>
    <c:plotArea>
      <c:layout/>
      <c:doughnutChart>
        <c:varyColors val="0"/>
        <c:ser>
          <c:idx val="0"/>
          <c:order val="0"/>
          <c:tx>
            <c:strRef>
              <c:f>gp_Disponibilidade!$C$1</c:f>
              <c:strCache>
                <c:ptCount val="1"/>
                <c:pt idx="0">
                  <c:v>Envolvimento no Projeto</c:v>
                </c:pt>
              </c:strCache>
            </c:strRef>
          </c:tx>
          <c:spPr>
            <a:solidFill>
              <a:srgbClr val="8EA9DB"/>
            </a:solidFill>
            <a:ln w="19050">
              <a:solidFill>
                <a:schemeClr val="lt1"/>
              </a:solidFill>
            </a:ln>
            <a:effectLst/>
          </c:spP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gp_Disponibilidade!$B$2:$B$4</c:f>
              <c:strCache>
                <c:ptCount val="3"/>
                <c:pt idx="0">
                  <c:v>Spezi</c:v>
                </c:pt>
                <c:pt idx="1">
                  <c:v>SPGG/STI</c:v>
                </c:pt>
                <c:pt idx="2">
                  <c:v>G4F</c:v>
                </c:pt>
              </c:strCache>
            </c:strRef>
          </c:cat>
          <c:val>
            <c:numRef>
              <c:f>gp_Disponibilidade!$C$2:$C$4</c:f>
              <c:numCache>
                <c:formatCode>0.00%</c:formatCode>
                <c:ptCount val="3"/>
                <c:pt idx="0">
                  <c:v>0.8</c:v>
                </c:pt>
                <c:pt idx="1">
                  <c:v>0.2</c:v>
                </c:pt>
                <c:pt idx="2">
                  <c:v>0</c:v>
                </c:pt>
              </c:numCache>
            </c:numRef>
          </c:val>
          <c:extLst>
            <c:ext xmlns:c16="http://schemas.microsoft.com/office/drawing/2014/chart" uri="{C3380CC4-5D6E-409C-BE32-E72D297353CC}">
              <c16:uniqueId val="{00000003-52B9-437D-BF10-6B8A554E4127}"/>
            </c:ext>
          </c:extLst>
        </c:ser>
        <c:dLbls>
          <c:showLegendKey val="0"/>
          <c:showVal val="0"/>
          <c:showCatName val="0"/>
          <c:showSerName val="0"/>
          <c:showPercent val="0"/>
          <c:showBubbleSize val="0"/>
          <c:showLeaderLines val="1"/>
        </c:dLbls>
        <c:firstSliceAng val="0"/>
        <c:holeSize val="15"/>
      </c:doughnutChart>
      <c:spPr>
        <a:noFill/>
        <a:ln>
          <a:noFill/>
        </a:ln>
        <a:effectLst/>
      </c:spPr>
    </c:plotArea>
    <c:plotVisOnly val="1"/>
    <c:dispBlanksAs val="gap"/>
    <c:showDLblsOverMax val="0"/>
  </c:chart>
  <c:spPr>
    <a:no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r>
              <a:rPr lang="en-US"/>
              <a:t>VELOCITY - STORYPOINTS PREVISTOS EM HUs DO PROJETO</a:t>
            </a:r>
          </a:p>
        </c:rich>
      </c:tx>
      <c:layout>
        <c:manualLayout>
          <c:xMode val="edge"/>
          <c:yMode val="edge"/>
          <c:x val="0.35154308333239531"/>
          <c:y val="3.4469822623276969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endParaRPr lang="en-US"/>
        </a:p>
      </c:txPr>
    </c:title>
    <c:autoTitleDeleted val="0"/>
    <c:plotArea>
      <c:layout/>
      <c:barChart>
        <c:barDir val="col"/>
        <c:grouping val="clustered"/>
        <c:varyColors val="0"/>
        <c:ser>
          <c:idx val="7"/>
          <c:order val="0"/>
          <c:tx>
            <c:strRef>
              <c:f>Report!$G$47</c:f>
              <c:strCache>
                <c:ptCount val="1"/>
                <c:pt idx="0">
                  <c:v>Mensuração (maior esforço individual)</c:v>
                </c:pt>
              </c:strCache>
            </c:strRef>
          </c:tx>
          <c:spPr>
            <a:solidFill>
              <a:srgbClr val="ED7D31"/>
            </a:solidFill>
            <a:ln>
              <a:noFill/>
            </a:ln>
            <a:effectLst/>
          </c:spPr>
          <c:invertIfNegative val="0"/>
          <c:cat>
            <c:numRef>
              <c:f>Report!$H$34:$S$34</c:f>
              <c:numCache>
                <c:formatCode>[$-416]mmm\-yy;@</c:formatCode>
                <c:ptCount val="12"/>
              </c:numCache>
            </c:numRef>
          </c:cat>
          <c:val>
            <c:numRef>
              <c:f>Report!$H$47:$S$47</c:f>
              <c:numCache>
                <c:formatCode>General</c:formatCode>
                <c:ptCount val="12"/>
                <c:pt idx="0">
                  <c:v>0</c:v>
                </c:pt>
                <c:pt idx="1">
                  <c:v>0</c:v>
                </c:pt>
                <c:pt idx="2">
                  <c:v>0</c:v>
                </c:pt>
                <c:pt idx="3">
                  <c:v>0</c:v>
                </c:pt>
                <c:pt idx="4">
                  <c:v>40</c:v>
                </c:pt>
                <c:pt idx="5">
                  <c:v>40</c:v>
                </c:pt>
                <c:pt idx="6">
                  <c:v>48</c:v>
                </c:pt>
                <c:pt idx="7">
                  <c:v>48</c:v>
                </c:pt>
                <c:pt idx="8">
                  <c:v>0</c:v>
                </c:pt>
                <c:pt idx="9">
                  <c:v>0</c:v>
                </c:pt>
                <c:pt idx="10">
                  <c:v>0</c:v>
                </c:pt>
                <c:pt idx="11">
                  <c:v>0</c:v>
                </c:pt>
              </c:numCache>
            </c:numRef>
          </c:val>
          <c:extLst>
            <c:ext xmlns:c16="http://schemas.microsoft.com/office/drawing/2014/chart" uri="{C3380CC4-5D6E-409C-BE32-E72D297353CC}">
              <c16:uniqueId val="{00000019-B6F4-4EB5-9E1A-2D8250B8121E}"/>
            </c:ext>
          </c:extLst>
        </c:ser>
        <c:ser>
          <c:idx val="8"/>
          <c:order val="1"/>
          <c:tx>
            <c:strRef>
              <c:f>Report!$G$48</c:f>
              <c:strCache>
                <c:ptCount val="1"/>
                <c:pt idx="0">
                  <c:v>Throughput - Qtd Storypoints</c:v>
                </c:pt>
              </c:strCache>
            </c:strRef>
          </c:tx>
          <c:spPr>
            <a:solidFill>
              <a:srgbClr val="8EA9DB"/>
            </a:solidFill>
            <a:ln>
              <a:noFill/>
            </a:ln>
            <a:effectLst/>
          </c:spPr>
          <c:invertIfNegative val="0"/>
          <c:cat>
            <c:numRef>
              <c:f>Report!$H$34:$S$34</c:f>
              <c:numCache>
                <c:formatCode>[$-416]mmm\-yy;@</c:formatCode>
                <c:ptCount val="12"/>
              </c:numCache>
            </c:numRef>
          </c:cat>
          <c:val>
            <c:numRef>
              <c:f>Report!$H$48:$S$48</c:f>
              <c:numCache>
                <c:formatCode>General</c:formatCode>
                <c:ptCount val="12"/>
                <c:pt idx="0">
                  <c:v>0</c:v>
                </c:pt>
                <c:pt idx="1">
                  <c:v>0</c:v>
                </c:pt>
                <c:pt idx="2">
                  <c:v>0</c:v>
                </c:pt>
                <c:pt idx="3">
                  <c:v>153</c:v>
                </c:pt>
                <c:pt idx="4">
                  <c:v>153</c:v>
                </c:pt>
                <c:pt idx="5">
                  <c:v>153</c:v>
                </c:pt>
                <c:pt idx="6">
                  <c:v>198</c:v>
                </c:pt>
                <c:pt idx="7">
                  <c:v>198</c:v>
                </c:pt>
                <c:pt idx="8">
                  <c:v>0</c:v>
                </c:pt>
                <c:pt idx="9">
                  <c:v>0</c:v>
                </c:pt>
                <c:pt idx="10">
                  <c:v>0</c:v>
                </c:pt>
                <c:pt idx="11">
                  <c:v>0</c:v>
                </c:pt>
              </c:numCache>
            </c:numRef>
          </c:val>
          <c:extLst>
            <c:ext xmlns:c16="http://schemas.microsoft.com/office/drawing/2014/chart" uri="{C3380CC4-5D6E-409C-BE32-E72D297353CC}">
              <c16:uniqueId val="{0000001B-B6F4-4EB5-9E1A-2D8250B8121E}"/>
            </c:ext>
          </c:extLst>
        </c:ser>
        <c:dLbls>
          <c:showLegendKey val="0"/>
          <c:showVal val="0"/>
          <c:showCatName val="0"/>
          <c:showSerName val="0"/>
          <c:showPercent val="0"/>
          <c:showBubbleSize val="0"/>
        </c:dLbls>
        <c:gapWidth val="150"/>
        <c:axId val="900489735"/>
        <c:axId val="900491783"/>
      </c:barChart>
      <c:lineChart>
        <c:grouping val="standard"/>
        <c:varyColors val="0"/>
        <c:ser>
          <c:idx val="0"/>
          <c:order val="2"/>
          <c:tx>
            <c:strRef>
              <c:f>Report!$G$49</c:f>
              <c:strCache>
                <c:ptCount val="1"/>
                <c:pt idx="0">
                  <c:v>Throughput - Qtd de Tarefas/Cards</c:v>
                </c:pt>
              </c:strCache>
            </c:strRef>
          </c:tx>
          <c:spPr>
            <a:ln w="28575" cap="rnd">
              <a:solidFill>
                <a:srgbClr val="70AD47"/>
              </a:solidFill>
              <a:prstDash val="solid"/>
              <a:round/>
            </a:ln>
            <a:effectLst/>
          </c:spPr>
          <c:marker>
            <c:symbol val="diamond"/>
            <c:size val="9"/>
            <c:spPr>
              <a:solidFill>
                <a:srgbClr val="C6E0B4"/>
              </a:solidFill>
              <a:ln w="9525">
                <a:solidFill>
                  <a:schemeClr val="accent1"/>
                </a:solidFill>
              </a:ln>
              <a:effectLst/>
            </c:spPr>
          </c:marker>
          <c:cat>
            <c:numRef>
              <c:f>Report!$H$34:$S$34</c:f>
              <c:numCache>
                <c:formatCode>[$-416]mmm\-yy;@</c:formatCode>
                <c:ptCount val="12"/>
              </c:numCache>
            </c:numRef>
          </c:cat>
          <c:val>
            <c:numRef>
              <c:f>Report!$H$49:$S$49</c:f>
              <c:numCache>
                <c:formatCode>General</c:formatCode>
                <c:ptCount val="12"/>
                <c:pt idx="0">
                  <c:v>0</c:v>
                </c:pt>
                <c:pt idx="1">
                  <c:v>0</c:v>
                </c:pt>
                <c:pt idx="2">
                  <c:v>160</c:v>
                </c:pt>
                <c:pt idx="3">
                  <c:v>40</c:v>
                </c:pt>
                <c:pt idx="4">
                  <c:v>30</c:v>
                </c:pt>
                <c:pt idx="5">
                  <c:v>50</c:v>
                </c:pt>
                <c:pt idx="6">
                  <c:v>64</c:v>
                </c:pt>
                <c:pt idx="7">
                  <c:v>53</c:v>
                </c:pt>
                <c:pt idx="8">
                  <c:v>0</c:v>
                </c:pt>
                <c:pt idx="9">
                  <c:v>0</c:v>
                </c:pt>
                <c:pt idx="10">
                  <c:v>0</c:v>
                </c:pt>
                <c:pt idx="11">
                  <c:v>0</c:v>
                </c:pt>
              </c:numCache>
            </c:numRef>
          </c:val>
          <c:smooth val="0"/>
          <c:extLst>
            <c:ext xmlns:c16="http://schemas.microsoft.com/office/drawing/2014/chart" uri="{C3380CC4-5D6E-409C-BE32-E72D297353CC}">
              <c16:uniqueId val="{00000027-B6F4-4EB5-9E1A-2D8250B8121E}"/>
            </c:ext>
          </c:extLst>
        </c:ser>
        <c:dLbls>
          <c:showLegendKey val="0"/>
          <c:showVal val="0"/>
          <c:showCatName val="0"/>
          <c:showSerName val="0"/>
          <c:showPercent val="0"/>
          <c:showBubbleSize val="0"/>
        </c:dLbls>
        <c:marker val="1"/>
        <c:smooth val="0"/>
        <c:axId val="900489735"/>
        <c:axId val="900491783"/>
      </c:lineChart>
      <c:catAx>
        <c:axId val="900489735"/>
        <c:scaling>
          <c:orientation val="minMax"/>
        </c:scaling>
        <c:delete val="0"/>
        <c:axPos val="b"/>
        <c:numFmt formatCode="[$-416]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900491783"/>
        <c:crosses val="autoZero"/>
        <c:auto val="1"/>
        <c:lblAlgn val="ctr"/>
        <c:lblOffset val="100"/>
        <c:noMultiLvlLbl val="0"/>
      </c:catAx>
      <c:valAx>
        <c:axId val="900491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9004897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r>
              <a:rPr lang="en-US"/>
              <a:t>BURNDOWN DA SPRINT (por Storypoints)</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endParaRPr lang="en-US"/>
        </a:p>
      </c:txPr>
    </c:title>
    <c:autoTitleDeleted val="0"/>
    <c:plotArea>
      <c:layout/>
      <c:lineChart>
        <c:grouping val="standard"/>
        <c:varyColors val="0"/>
        <c:ser>
          <c:idx val="0"/>
          <c:order val="0"/>
          <c:tx>
            <c:strRef>
              <c:f>xBurndownStorypoints!$B$1</c:f>
              <c:strCache>
                <c:ptCount val="1"/>
                <c:pt idx="0">
                  <c:v>Meta (Linear)</c:v>
                </c:pt>
              </c:strCache>
            </c:strRef>
          </c:tx>
          <c:spPr>
            <a:ln w="28575" cap="flat" cmpd="sng" algn="ctr">
              <a:solidFill>
                <a:srgbClr val="808080"/>
              </a:solidFill>
              <a:prstDash val="sysDash"/>
              <a:round/>
              <a:headEnd type="none" w="med" len="med"/>
              <a:tailEnd type="none" w="med" len="med"/>
            </a:ln>
            <a:effectLst/>
          </c:spPr>
          <c:marker>
            <c:symbol val="none"/>
          </c:marker>
          <c:cat>
            <c:numRef>
              <c:f>xBurndownStorypoints!$A$2:$A$32</c:f>
              <c:numCache>
                <c:formatCode>m/d/yyyy</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xBurndownStorypoints!$B$2:$B$32</c:f>
              <c:numCache>
                <c:formatCode>General</c:formatCode>
                <c:ptCount val="31"/>
                <c:pt idx="0">
                  <c:v>198</c:v>
                </c:pt>
                <c:pt idx="1">
                  <c:v>191</c:v>
                </c:pt>
                <c:pt idx="2">
                  <c:v>185</c:v>
                </c:pt>
                <c:pt idx="3">
                  <c:v>178</c:v>
                </c:pt>
                <c:pt idx="4">
                  <c:v>172</c:v>
                </c:pt>
                <c:pt idx="5">
                  <c:v>165</c:v>
                </c:pt>
                <c:pt idx="6">
                  <c:v>158</c:v>
                </c:pt>
                <c:pt idx="7">
                  <c:v>152</c:v>
                </c:pt>
                <c:pt idx="8">
                  <c:v>145</c:v>
                </c:pt>
                <c:pt idx="9">
                  <c:v>139</c:v>
                </c:pt>
                <c:pt idx="10">
                  <c:v>132</c:v>
                </c:pt>
                <c:pt idx="11">
                  <c:v>125</c:v>
                </c:pt>
                <c:pt idx="12">
                  <c:v>119</c:v>
                </c:pt>
                <c:pt idx="13">
                  <c:v>112</c:v>
                </c:pt>
                <c:pt idx="14">
                  <c:v>106</c:v>
                </c:pt>
                <c:pt idx="15">
                  <c:v>99</c:v>
                </c:pt>
                <c:pt idx="16">
                  <c:v>92</c:v>
                </c:pt>
                <c:pt idx="17">
                  <c:v>86</c:v>
                </c:pt>
                <c:pt idx="18">
                  <c:v>79</c:v>
                </c:pt>
                <c:pt idx="19">
                  <c:v>73</c:v>
                </c:pt>
                <c:pt idx="20">
                  <c:v>66</c:v>
                </c:pt>
                <c:pt idx="21">
                  <c:v>59</c:v>
                </c:pt>
                <c:pt idx="22">
                  <c:v>53</c:v>
                </c:pt>
                <c:pt idx="23">
                  <c:v>46</c:v>
                </c:pt>
                <c:pt idx="24">
                  <c:v>40</c:v>
                </c:pt>
                <c:pt idx="25">
                  <c:v>33</c:v>
                </c:pt>
                <c:pt idx="26">
                  <c:v>26</c:v>
                </c:pt>
                <c:pt idx="27">
                  <c:v>20</c:v>
                </c:pt>
                <c:pt idx="28">
                  <c:v>13</c:v>
                </c:pt>
                <c:pt idx="29">
                  <c:v>7</c:v>
                </c:pt>
                <c:pt idx="30">
                  <c:v>0</c:v>
                </c:pt>
              </c:numCache>
            </c:numRef>
          </c:val>
          <c:smooth val="0"/>
          <c:extLst>
            <c:ext xmlns:c16="http://schemas.microsoft.com/office/drawing/2014/chart" uri="{C3380CC4-5D6E-409C-BE32-E72D297353CC}">
              <c16:uniqueId val="{00000001-F482-4EA0-8FE3-65F6F839B4A4}"/>
            </c:ext>
          </c:extLst>
        </c:ser>
        <c:ser>
          <c:idx val="1"/>
          <c:order val="1"/>
          <c:tx>
            <c:strRef>
              <c:f>xBurndownStorypoints!$C$1</c:f>
              <c:strCache>
                <c:ptCount val="1"/>
                <c:pt idx="0">
                  <c:v>Planejado</c:v>
                </c:pt>
              </c:strCache>
            </c:strRef>
          </c:tx>
          <c:spPr>
            <a:ln w="38100" cap="rnd">
              <a:solidFill>
                <a:srgbClr val="9BC2E6"/>
              </a:solidFill>
              <a:prstDash val="solid"/>
              <a:round/>
            </a:ln>
            <a:effectLst/>
          </c:spPr>
          <c:marker>
            <c:symbol val="none"/>
          </c:marker>
          <c:cat>
            <c:numRef>
              <c:f>xBurndownStorypoints!$A$2:$A$32</c:f>
              <c:numCache>
                <c:formatCode>m/d/yyyy</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xBurndownStorypoints!$C$2:$C$32</c:f>
              <c:numCache>
                <c:formatCode>General</c:formatCode>
                <c:ptCount val="31"/>
                <c:pt idx="0">
                  <c:v>198</c:v>
                </c:pt>
                <c:pt idx="1">
                  <c:v>198</c:v>
                </c:pt>
                <c:pt idx="2">
                  <c:v>198</c:v>
                </c:pt>
                <c:pt idx="3">
                  <c:v>198</c:v>
                </c:pt>
                <c:pt idx="4">
                  <c:v>198</c:v>
                </c:pt>
                <c:pt idx="5">
                  <c:v>198</c:v>
                </c:pt>
                <c:pt idx="6">
                  <c:v>158</c:v>
                </c:pt>
                <c:pt idx="7">
                  <c:v>158</c:v>
                </c:pt>
                <c:pt idx="8">
                  <c:v>158</c:v>
                </c:pt>
                <c:pt idx="9">
                  <c:v>158</c:v>
                </c:pt>
                <c:pt idx="10">
                  <c:v>158</c:v>
                </c:pt>
                <c:pt idx="11">
                  <c:v>158</c:v>
                </c:pt>
                <c:pt idx="12">
                  <c:v>119</c:v>
                </c:pt>
                <c:pt idx="13">
                  <c:v>119</c:v>
                </c:pt>
                <c:pt idx="14">
                  <c:v>119</c:v>
                </c:pt>
                <c:pt idx="15">
                  <c:v>119</c:v>
                </c:pt>
                <c:pt idx="16">
                  <c:v>119</c:v>
                </c:pt>
                <c:pt idx="17">
                  <c:v>119</c:v>
                </c:pt>
                <c:pt idx="18">
                  <c:v>79</c:v>
                </c:pt>
                <c:pt idx="19">
                  <c:v>79</c:v>
                </c:pt>
                <c:pt idx="20">
                  <c:v>79</c:v>
                </c:pt>
                <c:pt idx="21">
                  <c:v>79</c:v>
                </c:pt>
                <c:pt idx="22">
                  <c:v>79</c:v>
                </c:pt>
                <c:pt idx="23">
                  <c:v>79</c:v>
                </c:pt>
                <c:pt idx="24">
                  <c:v>40</c:v>
                </c:pt>
                <c:pt idx="25">
                  <c:v>40</c:v>
                </c:pt>
                <c:pt idx="26">
                  <c:v>40</c:v>
                </c:pt>
                <c:pt idx="27">
                  <c:v>40</c:v>
                </c:pt>
                <c:pt idx="28">
                  <c:v>40</c:v>
                </c:pt>
                <c:pt idx="29">
                  <c:v>40</c:v>
                </c:pt>
                <c:pt idx="30">
                  <c:v>0</c:v>
                </c:pt>
              </c:numCache>
            </c:numRef>
          </c:val>
          <c:smooth val="0"/>
          <c:extLst>
            <c:ext xmlns:c16="http://schemas.microsoft.com/office/drawing/2014/chart" uri="{C3380CC4-5D6E-409C-BE32-E72D297353CC}">
              <c16:uniqueId val="{00000003-F482-4EA0-8FE3-65F6F839B4A4}"/>
            </c:ext>
          </c:extLst>
        </c:ser>
        <c:ser>
          <c:idx val="2"/>
          <c:order val="2"/>
          <c:tx>
            <c:strRef>
              <c:f>xBurndownStorypoints!$D$1</c:f>
              <c:strCache>
                <c:ptCount val="1"/>
                <c:pt idx="0">
                  <c:v>A Realizar</c:v>
                </c:pt>
              </c:strCache>
            </c:strRef>
          </c:tx>
          <c:spPr>
            <a:ln w="28575" cap="rnd">
              <a:solidFill>
                <a:srgbClr val="C00000"/>
              </a:solidFill>
              <a:prstDash val="solid"/>
              <a:round/>
            </a:ln>
            <a:effectLst/>
          </c:spPr>
          <c:marker>
            <c:symbol val="circle"/>
            <c:size val="5"/>
            <c:spPr>
              <a:solidFill>
                <a:schemeClr val="accent3"/>
              </a:solidFill>
              <a:ln w="9525">
                <a:solidFill>
                  <a:srgbClr val="000000"/>
                </a:solidFill>
                <a:prstDash val="solid"/>
              </a:ln>
              <a:effectLst/>
            </c:spPr>
          </c:marker>
          <c:cat>
            <c:numRef>
              <c:f>xBurndownStorypoints!$A$2:$A$32</c:f>
              <c:numCache>
                <c:formatCode>m/d/yyyy</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xBurndownStorypoints!$D$2:$D$32</c:f>
              <c:numCache>
                <c:formatCode>General</c:formatCode>
                <c:ptCount val="31"/>
                <c:pt idx="0">
                  <c:v>198</c:v>
                </c:pt>
                <c:pt idx="1">
                  <c:v>198</c:v>
                </c:pt>
                <c:pt idx="2">
                  <c:v>198</c:v>
                </c:pt>
                <c:pt idx="3">
                  <c:v>198</c:v>
                </c:pt>
                <c:pt idx="4">
                  <c:v>198</c:v>
                </c:pt>
                <c:pt idx="5">
                  <c:v>198</c:v>
                </c:pt>
                <c:pt idx="6">
                  <c:v>198</c:v>
                </c:pt>
                <c:pt idx="7">
                  <c:v>198</c:v>
                </c:pt>
                <c:pt idx="8">
                  <c:v>169.5</c:v>
                </c:pt>
                <c:pt idx="9">
                  <c:v>169.5</c:v>
                </c:pt>
                <c:pt idx="10">
                  <c:v>169.5</c:v>
                </c:pt>
                <c:pt idx="11">
                  <c:v>169.5</c:v>
                </c:pt>
                <c:pt idx="12">
                  <c:v>129.016666666666</c:v>
                </c:pt>
                <c:pt idx="13">
                  <c:v>129.016666666666</c:v>
                </c:pt>
                <c:pt idx="14">
                  <c:v>129.016666666666</c:v>
                </c:pt>
                <c:pt idx="15">
                  <c:v>102.11666666666601</c:v>
                </c:pt>
                <c:pt idx="16">
                  <c:v>73.466666666666598</c:v>
                </c:pt>
                <c:pt idx="17">
                  <c:v>40.733333333333299</c:v>
                </c:pt>
                <c:pt idx="18">
                  <c:v>40.733333333333299</c:v>
                </c:pt>
                <c:pt idx="19">
                  <c:v>40.733333333333299</c:v>
                </c:pt>
                <c:pt idx="20">
                  <c:v>40.733333333333299</c:v>
                </c:pt>
                <c:pt idx="21">
                  <c:v>40.733333333333299</c:v>
                </c:pt>
                <c:pt idx="22">
                  <c:v>33.733333333333299</c:v>
                </c:pt>
                <c:pt idx="23">
                  <c:v>16.3333333333333</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5-F482-4EA0-8FE3-65F6F839B4A4}"/>
            </c:ext>
          </c:extLst>
        </c:ser>
        <c:dLbls>
          <c:showLegendKey val="0"/>
          <c:showVal val="0"/>
          <c:showCatName val="0"/>
          <c:showSerName val="0"/>
          <c:showPercent val="0"/>
          <c:showBubbleSize val="0"/>
        </c:dLbls>
        <c:smooth val="0"/>
        <c:axId val="64778760"/>
        <c:axId val="64780808"/>
      </c:lineChart>
      <c:dateAx>
        <c:axId val="64778760"/>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80808"/>
        <c:crosses val="autoZero"/>
        <c:auto val="1"/>
        <c:lblOffset val="100"/>
        <c:baseTimeUnit val="days"/>
      </c:dateAx>
      <c:valAx>
        <c:axId val="64780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787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rgbClr val="000000"/>
              </a:solidFill>
              <a:latin typeface="+mn-lt"/>
              <a:ea typeface="+mn-ea"/>
              <a:cs typeface="+mn-cs"/>
            </a:defRPr>
          </a:pPr>
          <a:endParaRPr lang="en-US"/>
        </a:p>
      </c:txPr>
    </c:legend>
    <c:plotVisOnly val="1"/>
    <c:dispBlanksAs val="zero"/>
    <c:showDLblsOverMax val="0"/>
  </c:chart>
  <c:spPr>
    <a:noFill/>
    <a:ln w="25400" cap="flat" cmpd="sng" algn="ctr">
      <a:solidFill>
        <a:srgbClr val="A9D08E"/>
      </a:solidFill>
      <a:prstDash val="solid"/>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r>
              <a:rPr lang="en-US"/>
              <a:t>CFD - CUMULATIVE FLOW DIAGRAM (Kanban best pratices)</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endParaRPr lang="en-US"/>
        </a:p>
      </c:txPr>
    </c:title>
    <c:autoTitleDeleted val="0"/>
    <c:plotArea>
      <c:layout/>
      <c:areaChart>
        <c:grouping val="stacked"/>
        <c:varyColors val="0"/>
        <c:ser>
          <c:idx val="0"/>
          <c:order val="0"/>
          <c:tx>
            <c:strRef>
              <c:f>xCFD!$B$1</c:f>
              <c:strCache>
                <c:ptCount val="1"/>
                <c:pt idx="0">
                  <c:v>To Do</c:v>
                </c:pt>
              </c:strCache>
            </c:strRef>
          </c:tx>
          <c:spPr>
            <a:solidFill>
              <a:srgbClr val="4472C4"/>
            </a:solidFill>
            <a:ln w="25400">
              <a:noFill/>
            </a:ln>
            <a:effectLst/>
          </c:spPr>
          <c:cat>
            <c:numRef>
              <c:f>xCFD!$A$2:$A$32</c:f>
              <c:numCache>
                <c:formatCode>m/d/yyyy</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xCFD!$B$2:$B$32</c:f>
              <c:numCache>
                <c:formatCode>General</c:formatCode>
                <c:ptCount val="31"/>
                <c:pt idx="0">
                  <c:v>30</c:v>
                </c:pt>
                <c:pt idx="1">
                  <c:v>22</c:v>
                </c:pt>
                <c:pt idx="2">
                  <c:v>20</c:v>
                </c:pt>
                <c:pt idx="3">
                  <c:v>20</c:v>
                </c:pt>
                <c:pt idx="4">
                  <c:v>19</c:v>
                </c:pt>
                <c:pt idx="5">
                  <c:v>18</c:v>
                </c:pt>
                <c:pt idx="6">
                  <c:v>18</c:v>
                </c:pt>
                <c:pt idx="7">
                  <c:v>18</c:v>
                </c:pt>
                <c:pt idx="8">
                  <c:v>18</c:v>
                </c:pt>
                <c:pt idx="9">
                  <c:v>18</c:v>
                </c:pt>
                <c:pt idx="10">
                  <c:v>17</c:v>
                </c:pt>
                <c:pt idx="11">
                  <c:v>17</c:v>
                </c:pt>
                <c:pt idx="12">
                  <c:v>16</c:v>
                </c:pt>
                <c:pt idx="13">
                  <c:v>16</c:v>
                </c:pt>
                <c:pt idx="14">
                  <c:v>16</c:v>
                </c:pt>
                <c:pt idx="15">
                  <c:v>14</c:v>
                </c:pt>
                <c:pt idx="16">
                  <c:v>11</c:v>
                </c:pt>
                <c:pt idx="17">
                  <c:v>9</c:v>
                </c:pt>
                <c:pt idx="18">
                  <c:v>8</c:v>
                </c:pt>
                <c:pt idx="19">
                  <c:v>8</c:v>
                </c:pt>
                <c:pt idx="20">
                  <c:v>8</c:v>
                </c:pt>
                <c:pt idx="21">
                  <c:v>8</c:v>
                </c:pt>
                <c:pt idx="22">
                  <c:v>1</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3-CC86-49B5-9777-97A2A72D340A}"/>
            </c:ext>
          </c:extLst>
        </c:ser>
        <c:ser>
          <c:idx val="1"/>
          <c:order val="1"/>
          <c:tx>
            <c:strRef>
              <c:f>xCFD!$C$1</c:f>
              <c:strCache>
                <c:ptCount val="1"/>
                <c:pt idx="0">
                  <c:v>Doing</c:v>
                </c:pt>
              </c:strCache>
            </c:strRef>
          </c:tx>
          <c:spPr>
            <a:solidFill>
              <a:srgbClr val="F4B084"/>
            </a:solidFill>
            <a:ln w="25400">
              <a:noFill/>
            </a:ln>
            <a:effectLst/>
          </c:spPr>
          <c:cat>
            <c:numRef>
              <c:f>xCFD!$A$2:$A$32</c:f>
              <c:numCache>
                <c:formatCode>m/d/yyyy</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xCFD!$C$2:$C$32</c:f>
              <c:numCache>
                <c:formatCode>General</c:formatCode>
                <c:ptCount val="31"/>
                <c:pt idx="0">
                  <c:v>10</c:v>
                </c:pt>
                <c:pt idx="1">
                  <c:v>18</c:v>
                </c:pt>
                <c:pt idx="2">
                  <c:v>20</c:v>
                </c:pt>
                <c:pt idx="3">
                  <c:v>20</c:v>
                </c:pt>
                <c:pt idx="4">
                  <c:v>19</c:v>
                </c:pt>
                <c:pt idx="5">
                  <c:v>19</c:v>
                </c:pt>
                <c:pt idx="6">
                  <c:v>19</c:v>
                </c:pt>
                <c:pt idx="7">
                  <c:v>19</c:v>
                </c:pt>
                <c:pt idx="8">
                  <c:v>18</c:v>
                </c:pt>
                <c:pt idx="9">
                  <c:v>12</c:v>
                </c:pt>
                <c:pt idx="10">
                  <c:v>13</c:v>
                </c:pt>
                <c:pt idx="11">
                  <c:v>13</c:v>
                </c:pt>
                <c:pt idx="12">
                  <c:v>12</c:v>
                </c:pt>
                <c:pt idx="13">
                  <c:v>12</c:v>
                </c:pt>
                <c:pt idx="14">
                  <c:v>12</c:v>
                </c:pt>
                <c:pt idx="15">
                  <c:v>9</c:v>
                </c:pt>
                <c:pt idx="16">
                  <c:v>7</c:v>
                </c:pt>
                <c:pt idx="17">
                  <c:v>6</c:v>
                </c:pt>
                <c:pt idx="18">
                  <c:v>6</c:v>
                </c:pt>
                <c:pt idx="19">
                  <c:v>5</c:v>
                </c:pt>
                <c:pt idx="20">
                  <c:v>5</c:v>
                </c:pt>
                <c:pt idx="21">
                  <c:v>5</c:v>
                </c:pt>
                <c:pt idx="22">
                  <c:v>6</c:v>
                </c:pt>
                <c:pt idx="23">
                  <c:v>7</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5-CC86-49B5-9777-97A2A72D340A}"/>
            </c:ext>
          </c:extLst>
        </c:ser>
        <c:ser>
          <c:idx val="2"/>
          <c:order val="2"/>
          <c:tx>
            <c:strRef>
              <c:f>xCFD!$D$1</c:f>
              <c:strCache>
                <c:ptCount val="1"/>
                <c:pt idx="0">
                  <c:v>Done</c:v>
                </c:pt>
              </c:strCache>
            </c:strRef>
          </c:tx>
          <c:spPr>
            <a:solidFill>
              <a:srgbClr val="C6E0B4"/>
            </a:solidFill>
            <a:ln>
              <a:noFill/>
            </a:ln>
            <a:effectLst/>
          </c:spPr>
          <c:cat>
            <c:numRef>
              <c:f>xCFD!$A$2:$A$32</c:f>
              <c:numCache>
                <c:formatCode>m/d/yyyy</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xCFD!$D$2:$D$32</c:f>
              <c:numCache>
                <c:formatCode>General</c:formatCode>
                <c:ptCount val="31"/>
                <c:pt idx="0">
                  <c:v>0</c:v>
                </c:pt>
                <c:pt idx="1">
                  <c:v>0</c:v>
                </c:pt>
                <c:pt idx="2">
                  <c:v>0</c:v>
                </c:pt>
                <c:pt idx="3">
                  <c:v>0</c:v>
                </c:pt>
                <c:pt idx="4">
                  <c:v>2</c:v>
                </c:pt>
                <c:pt idx="5">
                  <c:v>3</c:v>
                </c:pt>
                <c:pt idx="6">
                  <c:v>3</c:v>
                </c:pt>
                <c:pt idx="7">
                  <c:v>3</c:v>
                </c:pt>
                <c:pt idx="8">
                  <c:v>4</c:v>
                </c:pt>
                <c:pt idx="9">
                  <c:v>10</c:v>
                </c:pt>
                <c:pt idx="10">
                  <c:v>10</c:v>
                </c:pt>
                <c:pt idx="11">
                  <c:v>10</c:v>
                </c:pt>
                <c:pt idx="12">
                  <c:v>12</c:v>
                </c:pt>
                <c:pt idx="13">
                  <c:v>12</c:v>
                </c:pt>
                <c:pt idx="14">
                  <c:v>12</c:v>
                </c:pt>
                <c:pt idx="15">
                  <c:v>17</c:v>
                </c:pt>
                <c:pt idx="16">
                  <c:v>22</c:v>
                </c:pt>
                <c:pt idx="17">
                  <c:v>25</c:v>
                </c:pt>
                <c:pt idx="18">
                  <c:v>26</c:v>
                </c:pt>
                <c:pt idx="19">
                  <c:v>27</c:v>
                </c:pt>
                <c:pt idx="20">
                  <c:v>27</c:v>
                </c:pt>
                <c:pt idx="21">
                  <c:v>27</c:v>
                </c:pt>
                <c:pt idx="22">
                  <c:v>33</c:v>
                </c:pt>
                <c:pt idx="23">
                  <c:v>33</c:v>
                </c:pt>
                <c:pt idx="24">
                  <c:v>40</c:v>
                </c:pt>
                <c:pt idx="25">
                  <c:v>40</c:v>
                </c:pt>
                <c:pt idx="26">
                  <c:v>40</c:v>
                </c:pt>
                <c:pt idx="27">
                  <c:v>40</c:v>
                </c:pt>
                <c:pt idx="28">
                  <c:v>40</c:v>
                </c:pt>
                <c:pt idx="29">
                  <c:v>40</c:v>
                </c:pt>
                <c:pt idx="30">
                  <c:v>40</c:v>
                </c:pt>
              </c:numCache>
            </c:numRef>
          </c:val>
          <c:extLst>
            <c:ext xmlns:c16="http://schemas.microsoft.com/office/drawing/2014/chart" uri="{C3380CC4-5D6E-409C-BE32-E72D297353CC}">
              <c16:uniqueId val="{00000007-CC86-49B5-9777-97A2A72D340A}"/>
            </c:ext>
          </c:extLst>
        </c:ser>
        <c:dLbls>
          <c:showLegendKey val="0"/>
          <c:showVal val="0"/>
          <c:showCatName val="0"/>
          <c:showSerName val="0"/>
          <c:showPercent val="0"/>
          <c:showBubbleSize val="0"/>
        </c:dLbls>
        <c:axId val="2004131336"/>
        <c:axId val="1999627271"/>
      </c:areaChart>
      <c:dateAx>
        <c:axId val="2004131336"/>
        <c:scaling>
          <c:orientation val="minMax"/>
        </c:scaling>
        <c:delete val="0"/>
        <c:axPos val="b"/>
        <c:majorGridlines>
          <c:spPr>
            <a:ln w="9525" cap="flat" cmpd="sng" algn="ctr">
              <a:solidFill>
                <a:schemeClr val="tx1">
                  <a:lumMod val="15000"/>
                  <a:lumOff val="85000"/>
                </a:schemeClr>
              </a:solidFill>
              <a:round/>
            </a:ln>
            <a:effectLst/>
          </c:spPr>
        </c:majorGridlines>
        <c:numFmt formatCode="m/d/yyyy" sourceLinked="1"/>
        <c:majorTickMark val="out"/>
        <c:minorTickMark val="none"/>
        <c:tickLblPos val="high"/>
        <c:spPr>
          <a:noFill/>
          <a:ln w="9525" cap="flat" cmpd="sng" algn="ctr">
            <a:solidFill>
              <a:srgbClr val="A6A6A6"/>
            </a:solidFill>
            <a:prstDash val="solid"/>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99627271"/>
        <c:crosses val="autoZero"/>
        <c:auto val="1"/>
        <c:lblOffset val="100"/>
        <c:baseTimeUnit val="days"/>
      </c:dateAx>
      <c:valAx>
        <c:axId val="1999627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13133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r>
              <a:rPr lang="en-US"/>
              <a:t>CYCLE TIME SCATTERPLOT (data + volume da entrega)</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endParaRPr lang="en-US"/>
        </a:p>
      </c:txPr>
    </c:title>
    <c:autoTitleDeleted val="0"/>
    <c:plotArea>
      <c:layout/>
      <c:bubbleChart>
        <c:varyColors val="0"/>
        <c:ser>
          <c:idx val="0"/>
          <c:order val="0"/>
          <c:tx>
            <c:strRef>
              <c:f>xCTS!$B$1</c:f>
              <c:strCache>
                <c:ptCount val="1"/>
                <c:pt idx="0">
                  <c:v>HU029- Desktop</c:v>
                </c:pt>
              </c:strCache>
            </c:strRef>
          </c:tx>
          <c:spPr>
            <a:solidFill>
              <a:schemeClr val="accent1">
                <a:alpha val="75000"/>
              </a:schemeClr>
            </a:solidFill>
            <a:ln w="25400">
              <a:noFill/>
            </a:ln>
            <a:effectLst/>
          </c:spPr>
          <c:invertIfNegative val="0"/>
          <c:xVal>
            <c:numRef>
              <c:f>xCTS!$A$2:$A$32</c:f>
              <c:numCache>
                <c:formatCode>m/d/yyyy</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xVal>
          <c:yVal>
            <c:numRef>
              <c:f>xCTS!$B$2:$B$32</c:f>
              <c:numCache>
                <c:formatCode>General</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yVal>
          <c:bubbleSize>
            <c:numRef>
              <c:f>xCTS!$C$2:$C$32</c:f>
              <c:numCache>
                <c:formatCode>General</c:formatCode>
                <c:ptCount val="31"/>
                <c:pt idx="0">
                  <c:v>0</c:v>
                </c:pt>
                <c:pt idx="1">
                  <c:v>0</c:v>
                </c:pt>
                <c:pt idx="2">
                  <c:v>0</c:v>
                </c:pt>
                <c:pt idx="3">
                  <c:v>0</c:v>
                </c:pt>
                <c:pt idx="4">
                  <c:v>0</c:v>
                </c:pt>
                <c:pt idx="5">
                  <c:v>0</c:v>
                </c:pt>
                <c:pt idx="6">
                  <c:v>0</c:v>
                </c:pt>
                <c:pt idx="7">
                  <c:v>0</c:v>
                </c:pt>
                <c:pt idx="8">
                  <c:v>0</c:v>
                </c:pt>
                <c:pt idx="9">
                  <c:v>1</c:v>
                </c:pt>
                <c:pt idx="10">
                  <c:v>0</c:v>
                </c:pt>
                <c:pt idx="11">
                  <c:v>0</c:v>
                </c:pt>
                <c:pt idx="12">
                  <c:v>0</c:v>
                </c:pt>
                <c:pt idx="13">
                  <c:v>0</c:v>
                </c:pt>
                <c:pt idx="14">
                  <c:v>0</c:v>
                </c:pt>
                <c:pt idx="15">
                  <c:v>0</c:v>
                </c:pt>
                <c:pt idx="16">
                  <c:v>0</c:v>
                </c:pt>
                <c:pt idx="17">
                  <c:v>2</c:v>
                </c:pt>
                <c:pt idx="18">
                  <c:v>0</c:v>
                </c:pt>
                <c:pt idx="19">
                  <c:v>0</c:v>
                </c:pt>
                <c:pt idx="20">
                  <c:v>0</c:v>
                </c:pt>
                <c:pt idx="21">
                  <c:v>0</c:v>
                </c:pt>
                <c:pt idx="22">
                  <c:v>1</c:v>
                </c:pt>
                <c:pt idx="23">
                  <c:v>0</c:v>
                </c:pt>
                <c:pt idx="24">
                  <c:v>0</c:v>
                </c:pt>
                <c:pt idx="25">
                  <c:v>0</c:v>
                </c:pt>
                <c:pt idx="26">
                  <c:v>0</c:v>
                </c:pt>
                <c:pt idx="27">
                  <c:v>0</c:v>
                </c:pt>
                <c:pt idx="28">
                  <c:v>0</c:v>
                </c:pt>
                <c:pt idx="29">
                  <c:v>0</c:v>
                </c:pt>
                <c:pt idx="30">
                  <c:v>0</c:v>
                </c:pt>
              </c:numCache>
            </c:numRef>
          </c:bubbleSize>
          <c:bubble3D val="0"/>
          <c:extLst>
            <c:ext xmlns:c16="http://schemas.microsoft.com/office/drawing/2014/chart" uri="{C3380CC4-5D6E-409C-BE32-E72D297353CC}">
              <c16:uniqueId val="{00000001-D2BD-4B5A-A0E7-EDFCB934D9E7}"/>
            </c:ext>
          </c:extLst>
        </c:ser>
        <c:ser>
          <c:idx val="1"/>
          <c:order val="1"/>
          <c:tx>
            <c:strRef>
              <c:f>xCTS!$D$1</c:f>
              <c:strCache>
                <c:ptCount val="1"/>
                <c:pt idx="0">
                  <c:v>HU030 - Mobile</c:v>
                </c:pt>
              </c:strCache>
            </c:strRef>
          </c:tx>
          <c:spPr>
            <a:solidFill>
              <a:schemeClr val="accent2">
                <a:alpha val="75000"/>
              </a:schemeClr>
            </a:solidFill>
            <a:ln w="25400">
              <a:noFill/>
            </a:ln>
            <a:effectLst/>
          </c:spPr>
          <c:invertIfNegative val="0"/>
          <c:xVal>
            <c:numRef>
              <c:f>xCTS!$A$2:$A$32</c:f>
              <c:numCache>
                <c:formatCode>m/d/yyyy</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xVal>
          <c:yVal>
            <c:numRef>
              <c:f>xCTS!$D$2:$D$32</c:f>
              <c:numCache>
                <c:formatCode>General</c:formatCode>
                <c:ptCount val="31"/>
                <c:pt idx="0">
                  <c:v>2</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pt idx="17">
                  <c:v>2</c:v>
                </c:pt>
                <c:pt idx="18">
                  <c:v>2</c:v>
                </c:pt>
                <c:pt idx="19">
                  <c:v>2</c:v>
                </c:pt>
                <c:pt idx="20">
                  <c:v>2</c:v>
                </c:pt>
                <c:pt idx="21">
                  <c:v>2</c:v>
                </c:pt>
                <c:pt idx="22">
                  <c:v>2</c:v>
                </c:pt>
                <c:pt idx="23">
                  <c:v>2</c:v>
                </c:pt>
                <c:pt idx="24">
                  <c:v>2</c:v>
                </c:pt>
                <c:pt idx="25">
                  <c:v>2</c:v>
                </c:pt>
                <c:pt idx="26">
                  <c:v>2</c:v>
                </c:pt>
                <c:pt idx="27">
                  <c:v>2</c:v>
                </c:pt>
                <c:pt idx="28">
                  <c:v>2</c:v>
                </c:pt>
                <c:pt idx="29">
                  <c:v>2</c:v>
                </c:pt>
                <c:pt idx="30">
                  <c:v>2</c:v>
                </c:pt>
              </c:numCache>
            </c:numRef>
          </c:yVal>
          <c:bubbleSize>
            <c:numRef>
              <c:f>xCTS!$E$2:$E$32</c:f>
              <c:numCache>
                <c:formatCode>General</c:formatCode>
                <c:ptCount val="31"/>
                <c:pt idx="0">
                  <c:v>0</c:v>
                </c:pt>
                <c:pt idx="1">
                  <c:v>0</c:v>
                </c:pt>
                <c:pt idx="2">
                  <c:v>0</c:v>
                </c:pt>
                <c:pt idx="3">
                  <c:v>0</c:v>
                </c:pt>
                <c:pt idx="4">
                  <c:v>0</c:v>
                </c:pt>
                <c:pt idx="5">
                  <c:v>0</c:v>
                </c:pt>
                <c:pt idx="6">
                  <c:v>0</c:v>
                </c:pt>
                <c:pt idx="7">
                  <c:v>0</c:v>
                </c:pt>
                <c:pt idx="8">
                  <c:v>0</c:v>
                </c:pt>
                <c:pt idx="9">
                  <c:v>1</c:v>
                </c:pt>
                <c:pt idx="10">
                  <c:v>0</c:v>
                </c:pt>
                <c:pt idx="11">
                  <c:v>0</c:v>
                </c:pt>
                <c:pt idx="12">
                  <c:v>0</c:v>
                </c:pt>
                <c:pt idx="13">
                  <c:v>0</c:v>
                </c:pt>
                <c:pt idx="14">
                  <c:v>0</c:v>
                </c:pt>
                <c:pt idx="15">
                  <c:v>0</c:v>
                </c:pt>
                <c:pt idx="16">
                  <c:v>0</c:v>
                </c:pt>
                <c:pt idx="17">
                  <c:v>2</c:v>
                </c:pt>
                <c:pt idx="18">
                  <c:v>0</c:v>
                </c:pt>
                <c:pt idx="19">
                  <c:v>0</c:v>
                </c:pt>
                <c:pt idx="20">
                  <c:v>0</c:v>
                </c:pt>
                <c:pt idx="21">
                  <c:v>0</c:v>
                </c:pt>
                <c:pt idx="22">
                  <c:v>1</c:v>
                </c:pt>
                <c:pt idx="23">
                  <c:v>0</c:v>
                </c:pt>
                <c:pt idx="24">
                  <c:v>0</c:v>
                </c:pt>
                <c:pt idx="25">
                  <c:v>0</c:v>
                </c:pt>
                <c:pt idx="26">
                  <c:v>0</c:v>
                </c:pt>
                <c:pt idx="27">
                  <c:v>0</c:v>
                </c:pt>
                <c:pt idx="28">
                  <c:v>0</c:v>
                </c:pt>
                <c:pt idx="29">
                  <c:v>0</c:v>
                </c:pt>
                <c:pt idx="30">
                  <c:v>0</c:v>
                </c:pt>
              </c:numCache>
            </c:numRef>
          </c:bubbleSize>
          <c:bubble3D val="0"/>
          <c:extLst>
            <c:ext xmlns:c16="http://schemas.microsoft.com/office/drawing/2014/chart" uri="{C3380CC4-5D6E-409C-BE32-E72D297353CC}">
              <c16:uniqueId val="{00000003-D2BD-4B5A-A0E7-EDFCB934D9E7}"/>
            </c:ext>
          </c:extLst>
        </c:ser>
        <c:ser>
          <c:idx val="2"/>
          <c:order val="2"/>
          <c:tx>
            <c:strRef>
              <c:f>xCTS!$F$1</c:f>
              <c:strCache>
                <c:ptCount val="1"/>
                <c:pt idx="0">
                  <c:v>HU031 - Benchmark</c:v>
                </c:pt>
              </c:strCache>
            </c:strRef>
          </c:tx>
          <c:spPr>
            <a:solidFill>
              <a:schemeClr val="accent3">
                <a:alpha val="75000"/>
              </a:schemeClr>
            </a:solidFill>
            <a:ln w="25400">
              <a:noFill/>
            </a:ln>
            <a:effectLst/>
          </c:spPr>
          <c:invertIfNegative val="0"/>
          <c:xVal>
            <c:numRef>
              <c:f>xCTS!$A$2:$A$32</c:f>
              <c:numCache>
                <c:formatCode>m/d/yyyy</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xVal>
          <c:yVal>
            <c:numRef>
              <c:f>xCTS!$F$2:$F$32</c:f>
              <c:numCache>
                <c:formatCode>General</c:formatCode>
                <c:ptCount val="31"/>
                <c:pt idx="0">
                  <c:v>3</c:v>
                </c:pt>
                <c:pt idx="1">
                  <c:v>3</c:v>
                </c:pt>
                <c:pt idx="2">
                  <c:v>3</c:v>
                </c:pt>
                <c:pt idx="3">
                  <c:v>3</c:v>
                </c:pt>
                <c:pt idx="4">
                  <c:v>3</c:v>
                </c:pt>
                <c:pt idx="5">
                  <c:v>3</c:v>
                </c:pt>
                <c:pt idx="6">
                  <c:v>3</c:v>
                </c:pt>
                <c:pt idx="7">
                  <c:v>3</c:v>
                </c:pt>
                <c:pt idx="8">
                  <c:v>3</c:v>
                </c:pt>
                <c:pt idx="9">
                  <c:v>3</c:v>
                </c:pt>
                <c:pt idx="10">
                  <c:v>3</c:v>
                </c:pt>
                <c:pt idx="11">
                  <c:v>3</c:v>
                </c:pt>
                <c:pt idx="12">
                  <c:v>3</c:v>
                </c:pt>
                <c:pt idx="13">
                  <c:v>3</c:v>
                </c:pt>
                <c:pt idx="14">
                  <c:v>3</c:v>
                </c:pt>
                <c:pt idx="15">
                  <c:v>3</c:v>
                </c:pt>
                <c:pt idx="16">
                  <c:v>3</c:v>
                </c:pt>
                <c:pt idx="17">
                  <c:v>3</c:v>
                </c:pt>
                <c:pt idx="18">
                  <c:v>3</c:v>
                </c:pt>
                <c:pt idx="19">
                  <c:v>3</c:v>
                </c:pt>
                <c:pt idx="20">
                  <c:v>3</c:v>
                </c:pt>
                <c:pt idx="21">
                  <c:v>3</c:v>
                </c:pt>
                <c:pt idx="22">
                  <c:v>3</c:v>
                </c:pt>
                <c:pt idx="23">
                  <c:v>3</c:v>
                </c:pt>
                <c:pt idx="24">
                  <c:v>3</c:v>
                </c:pt>
                <c:pt idx="25">
                  <c:v>3</c:v>
                </c:pt>
                <c:pt idx="26">
                  <c:v>3</c:v>
                </c:pt>
                <c:pt idx="27">
                  <c:v>3</c:v>
                </c:pt>
                <c:pt idx="28">
                  <c:v>3</c:v>
                </c:pt>
                <c:pt idx="29">
                  <c:v>3</c:v>
                </c:pt>
                <c:pt idx="30">
                  <c:v>3</c:v>
                </c:pt>
              </c:numCache>
            </c:numRef>
          </c:yVal>
          <c:bubbleSize>
            <c:numRef>
              <c:f>xCTS!$G$2:$G$32</c:f>
              <c:numCache>
                <c:formatCode>General</c:formatCode>
                <c:ptCount val="31"/>
                <c:pt idx="0">
                  <c:v>0</c:v>
                </c:pt>
                <c:pt idx="1">
                  <c:v>0</c:v>
                </c:pt>
                <c:pt idx="2">
                  <c:v>0</c:v>
                </c:pt>
                <c:pt idx="3">
                  <c:v>0</c:v>
                </c:pt>
                <c:pt idx="4">
                  <c:v>2</c:v>
                </c:pt>
                <c:pt idx="5">
                  <c:v>1</c:v>
                </c:pt>
                <c:pt idx="6">
                  <c:v>0</c:v>
                </c:pt>
                <c:pt idx="7">
                  <c:v>0</c:v>
                </c:pt>
                <c:pt idx="8">
                  <c:v>0</c:v>
                </c:pt>
                <c:pt idx="9">
                  <c:v>1</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bubbleSize>
          <c:bubble3D val="0"/>
          <c:extLst>
            <c:ext xmlns:c16="http://schemas.microsoft.com/office/drawing/2014/chart" uri="{C3380CC4-5D6E-409C-BE32-E72D297353CC}">
              <c16:uniqueId val="{00000005-D2BD-4B5A-A0E7-EDFCB934D9E7}"/>
            </c:ext>
          </c:extLst>
        </c:ser>
        <c:ser>
          <c:idx val="3"/>
          <c:order val="3"/>
          <c:tx>
            <c:strRef>
              <c:f>xCTS!$H$1</c:f>
              <c:strCache>
                <c:ptCount val="1"/>
                <c:pt idx="0">
                  <c:v>HU032 - Construção</c:v>
                </c:pt>
              </c:strCache>
            </c:strRef>
          </c:tx>
          <c:spPr>
            <a:solidFill>
              <a:schemeClr val="accent4">
                <a:alpha val="75000"/>
              </a:schemeClr>
            </a:solidFill>
            <a:ln w="25400">
              <a:noFill/>
            </a:ln>
            <a:effectLst/>
          </c:spPr>
          <c:invertIfNegative val="0"/>
          <c:xVal>
            <c:numRef>
              <c:f>xCTS!$A$2:$A$32</c:f>
              <c:numCache>
                <c:formatCode>m/d/yyyy</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xVal>
          <c:yVal>
            <c:numRef>
              <c:f>xCTS!$H$2:$H$32</c:f>
              <c:numCache>
                <c:formatCode>General</c:formatCode>
                <c:ptCount val="31"/>
                <c:pt idx="0">
                  <c:v>4</c:v>
                </c:pt>
                <c:pt idx="1">
                  <c:v>4</c:v>
                </c:pt>
                <c:pt idx="2">
                  <c:v>4</c:v>
                </c:pt>
                <c:pt idx="3">
                  <c:v>4</c:v>
                </c:pt>
                <c:pt idx="4">
                  <c:v>4</c:v>
                </c:pt>
                <c:pt idx="5">
                  <c:v>4</c:v>
                </c:pt>
                <c:pt idx="6">
                  <c:v>4</c:v>
                </c:pt>
                <c:pt idx="7">
                  <c:v>4</c:v>
                </c:pt>
                <c:pt idx="8">
                  <c:v>4</c:v>
                </c:pt>
                <c:pt idx="9">
                  <c:v>4</c:v>
                </c:pt>
                <c:pt idx="10">
                  <c:v>4</c:v>
                </c:pt>
                <c:pt idx="11">
                  <c:v>4</c:v>
                </c:pt>
                <c:pt idx="12">
                  <c:v>4</c:v>
                </c:pt>
                <c:pt idx="13">
                  <c:v>4</c:v>
                </c:pt>
                <c:pt idx="14">
                  <c:v>4</c:v>
                </c:pt>
                <c:pt idx="15">
                  <c:v>4</c:v>
                </c:pt>
                <c:pt idx="16">
                  <c:v>4</c:v>
                </c:pt>
                <c:pt idx="17">
                  <c:v>4</c:v>
                </c:pt>
                <c:pt idx="18">
                  <c:v>4</c:v>
                </c:pt>
                <c:pt idx="19">
                  <c:v>4</c:v>
                </c:pt>
                <c:pt idx="20">
                  <c:v>4</c:v>
                </c:pt>
                <c:pt idx="21">
                  <c:v>4</c:v>
                </c:pt>
                <c:pt idx="22">
                  <c:v>4</c:v>
                </c:pt>
                <c:pt idx="23">
                  <c:v>4</c:v>
                </c:pt>
                <c:pt idx="24">
                  <c:v>4</c:v>
                </c:pt>
                <c:pt idx="25">
                  <c:v>4</c:v>
                </c:pt>
                <c:pt idx="26">
                  <c:v>4</c:v>
                </c:pt>
                <c:pt idx="27">
                  <c:v>4</c:v>
                </c:pt>
                <c:pt idx="28">
                  <c:v>4</c:v>
                </c:pt>
                <c:pt idx="29">
                  <c:v>4</c:v>
                </c:pt>
                <c:pt idx="30">
                  <c:v>4</c:v>
                </c:pt>
              </c:numCache>
            </c:numRef>
          </c:yVal>
          <c:bubbleSize>
            <c:numRef>
              <c:f>xCTS!$I$2:$I$32</c:f>
              <c:numCache>
                <c:formatCode>General</c:formatCode>
                <c:ptCount val="31"/>
                <c:pt idx="0">
                  <c:v>0</c:v>
                </c:pt>
                <c:pt idx="1">
                  <c:v>0</c:v>
                </c:pt>
                <c:pt idx="2">
                  <c:v>0</c:v>
                </c:pt>
                <c:pt idx="3">
                  <c:v>0</c:v>
                </c:pt>
                <c:pt idx="4">
                  <c:v>0</c:v>
                </c:pt>
                <c:pt idx="5">
                  <c:v>0</c:v>
                </c:pt>
                <c:pt idx="6">
                  <c:v>0</c:v>
                </c:pt>
                <c:pt idx="7">
                  <c:v>0</c:v>
                </c:pt>
                <c:pt idx="8">
                  <c:v>0</c:v>
                </c:pt>
                <c:pt idx="9">
                  <c:v>1</c:v>
                </c:pt>
                <c:pt idx="10">
                  <c:v>0</c:v>
                </c:pt>
                <c:pt idx="11">
                  <c:v>0</c:v>
                </c:pt>
                <c:pt idx="12">
                  <c:v>2</c:v>
                </c:pt>
                <c:pt idx="13">
                  <c:v>0</c:v>
                </c:pt>
                <c:pt idx="14">
                  <c:v>0</c:v>
                </c:pt>
                <c:pt idx="15">
                  <c:v>0</c:v>
                </c:pt>
                <c:pt idx="16">
                  <c:v>1</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bubbleSize>
          <c:bubble3D val="0"/>
          <c:extLst>
            <c:ext xmlns:c16="http://schemas.microsoft.com/office/drawing/2014/chart" uri="{C3380CC4-5D6E-409C-BE32-E72D297353CC}">
              <c16:uniqueId val="{00000007-D2BD-4B5A-A0E7-EDFCB934D9E7}"/>
            </c:ext>
          </c:extLst>
        </c:ser>
        <c:ser>
          <c:idx val="4"/>
          <c:order val="4"/>
          <c:tx>
            <c:strRef>
              <c:f>xCTS!$J$1</c:f>
              <c:strCache>
                <c:ptCount val="1"/>
                <c:pt idx="0">
                  <c:v>HU033 - Testes</c:v>
                </c:pt>
              </c:strCache>
            </c:strRef>
          </c:tx>
          <c:spPr>
            <a:solidFill>
              <a:schemeClr val="accent5">
                <a:alpha val="75000"/>
              </a:schemeClr>
            </a:solidFill>
            <a:ln w="25400">
              <a:noFill/>
            </a:ln>
            <a:effectLst/>
          </c:spPr>
          <c:invertIfNegative val="0"/>
          <c:xVal>
            <c:numRef>
              <c:f>xCTS!$A$2:$A$32</c:f>
              <c:numCache>
                <c:formatCode>m/d/yyyy</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xVal>
          <c:yVal>
            <c:numRef>
              <c:f>xCTS!$J$2:$J$32</c:f>
              <c:numCache>
                <c:formatCode>General</c:formatCode>
                <c:ptCount val="31"/>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pt idx="19">
                  <c:v>5</c:v>
                </c:pt>
                <c:pt idx="20">
                  <c:v>5</c:v>
                </c:pt>
                <c:pt idx="21">
                  <c:v>5</c:v>
                </c:pt>
                <c:pt idx="22">
                  <c:v>5</c:v>
                </c:pt>
                <c:pt idx="23">
                  <c:v>5</c:v>
                </c:pt>
                <c:pt idx="24">
                  <c:v>5</c:v>
                </c:pt>
                <c:pt idx="25">
                  <c:v>5</c:v>
                </c:pt>
                <c:pt idx="26">
                  <c:v>5</c:v>
                </c:pt>
                <c:pt idx="27">
                  <c:v>5</c:v>
                </c:pt>
                <c:pt idx="28">
                  <c:v>5</c:v>
                </c:pt>
                <c:pt idx="29">
                  <c:v>5</c:v>
                </c:pt>
                <c:pt idx="30">
                  <c:v>5</c:v>
                </c:pt>
              </c:numCache>
            </c:numRef>
          </c:yVal>
          <c:bubbleSize>
            <c:numRef>
              <c:f>xCTS!$K$2:$K$32</c:f>
              <c:numCache>
                <c:formatCode>General</c:formatCode>
                <c:ptCount val="31"/>
                <c:pt idx="0">
                  <c:v>0</c:v>
                </c:pt>
                <c:pt idx="1">
                  <c:v>0</c:v>
                </c:pt>
                <c:pt idx="2">
                  <c:v>0</c:v>
                </c:pt>
                <c:pt idx="3">
                  <c:v>0</c:v>
                </c:pt>
                <c:pt idx="4">
                  <c:v>0</c:v>
                </c:pt>
                <c:pt idx="5">
                  <c:v>0</c:v>
                </c:pt>
                <c:pt idx="6">
                  <c:v>0</c:v>
                </c:pt>
                <c:pt idx="7">
                  <c:v>0</c:v>
                </c:pt>
                <c:pt idx="8">
                  <c:v>0</c:v>
                </c:pt>
                <c:pt idx="9">
                  <c:v>1</c:v>
                </c:pt>
                <c:pt idx="10">
                  <c:v>0</c:v>
                </c:pt>
                <c:pt idx="11">
                  <c:v>0</c:v>
                </c:pt>
                <c:pt idx="12">
                  <c:v>0</c:v>
                </c:pt>
                <c:pt idx="13">
                  <c:v>0</c:v>
                </c:pt>
                <c:pt idx="14">
                  <c:v>0</c:v>
                </c:pt>
                <c:pt idx="15">
                  <c:v>3</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bubbleSize>
          <c:bubble3D val="0"/>
          <c:extLst>
            <c:ext xmlns:c16="http://schemas.microsoft.com/office/drawing/2014/chart" uri="{C3380CC4-5D6E-409C-BE32-E72D297353CC}">
              <c16:uniqueId val="{00000009-D2BD-4B5A-A0E7-EDFCB934D9E7}"/>
            </c:ext>
          </c:extLst>
        </c:ser>
        <c:ser>
          <c:idx val="5"/>
          <c:order val="5"/>
          <c:tx>
            <c:strRef>
              <c:f>xCTS!$L$1</c:f>
              <c:strCache>
                <c:ptCount val="1"/>
                <c:pt idx="0">
                  <c:v>HU034 - Registro</c:v>
                </c:pt>
              </c:strCache>
            </c:strRef>
          </c:tx>
          <c:spPr>
            <a:solidFill>
              <a:schemeClr val="accent6">
                <a:alpha val="75000"/>
              </a:schemeClr>
            </a:solidFill>
            <a:ln w="25400">
              <a:noFill/>
            </a:ln>
            <a:effectLst/>
          </c:spPr>
          <c:invertIfNegative val="0"/>
          <c:xVal>
            <c:numRef>
              <c:f>xCTS!$A$2:$A$32</c:f>
              <c:numCache>
                <c:formatCode>m/d/yyyy</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xVal>
          <c:yVal>
            <c:numRef>
              <c:f>xCTS!$L$2:$L$32</c:f>
              <c:numCache>
                <c:formatCode>General</c:formatCode>
                <c:ptCount val="31"/>
                <c:pt idx="0">
                  <c:v>6</c:v>
                </c:pt>
                <c:pt idx="1">
                  <c:v>6</c:v>
                </c:pt>
                <c:pt idx="2">
                  <c:v>6</c:v>
                </c:pt>
                <c:pt idx="3">
                  <c:v>6</c:v>
                </c:pt>
                <c:pt idx="4">
                  <c:v>6</c:v>
                </c:pt>
                <c:pt idx="5">
                  <c:v>6</c:v>
                </c:pt>
                <c:pt idx="6">
                  <c:v>6</c:v>
                </c:pt>
                <c:pt idx="7">
                  <c:v>6</c:v>
                </c:pt>
                <c:pt idx="8">
                  <c:v>6</c:v>
                </c:pt>
                <c:pt idx="9">
                  <c:v>6</c:v>
                </c:pt>
                <c:pt idx="10">
                  <c:v>6</c:v>
                </c:pt>
                <c:pt idx="11">
                  <c:v>6</c:v>
                </c:pt>
                <c:pt idx="12">
                  <c:v>6</c:v>
                </c:pt>
                <c:pt idx="13">
                  <c:v>6</c:v>
                </c:pt>
                <c:pt idx="14">
                  <c:v>6</c:v>
                </c:pt>
                <c:pt idx="15">
                  <c:v>6</c:v>
                </c:pt>
                <c:pt idx="16">
                  <c:v>6</c:v>
                </c:pt>
                <c:pt idx="17">
                  <c:v>6</c:v>
                </c:pt>
                <c:pt idx="18">
                  <c:v>6</c:v>
                </c:pt>
                <c:pt idx="19">
                  <c:v>6</c:v>
                </c:pt>
                <c:pt idx="20">
                  <c:v>6</c:v>
                </c:pt>
                <c:pt idx="21">
                  <c:v>6</c:v>
                </c:pt>
                <c:pt idx="22">
                  <c:v>6</c:v>
                </c:pt>
                <c:pt idx="23">
                  <c:v>6</c:v>
                </c:pt>
                <c:pt idx="24">
                  <c:v>6</c:v>
                </c:pt>
                <c:pt idx="25">
                  <c:v>6</c:v>
                </c:pt>
                <c:pt idx="26">
                  <c:v>6</c:v>
                </c:pt>
                <c:pt idx="27">
                  <c:v>6</c:v>
                </c:pt>
                <c:pt idx="28">
                  <c:v>6</c:v>
                </c:pt>
                <c:pt idx="29">
                  <c:v>6</c:v>
                </c:pt>
                <c:pt idx="30">
                  <c:v>6</c:v>
                </c:pt>
              </c:numCache>
            </c:numRef>
          </c:yVal>
          <c:bubbleSize>
            <c:numRef>
              <c:f>xCTS!$M$2:$M$32</c:f>
              <c:numCache>
                <c:formatCode>General</c:formatCode>
                <c:ptCount val="31"/>
                <c:pt idx="0">
                  <c:v>0</c:v>
                </c:pt>
                <c:pt idx="1">
                  <c:v>0</c:v>
                </c:pt>
                <c:pt idx="2">
                  <c:v>0</c:v>
                </c:pt>
                <c:pt idx="3">
                  <c:v>0</c:v>
                </c:pt>
                <c:pt idx="4">
                  <c:v>0</c:v>
                </c:pt>
                <c:pt idx="5">
                  <c:v>0</c:v>
                </c:pt>
                <c:pt idx="6">
                  <c:v>0</c:v>
                </c:pt>
                <c:pt idx="7">
                  <c:v>0</c:v>
                </c:pt>
                <c:pt idx="8">
                  <c:v>3</c:v>
                </c:pt>
                <c:pt idx="9">
                  <c:v>1</c:v>
                </c:pt>
                <c:pt idx="10">
                  <c:v>0</c:v>
                </c:pt>
                <c:pt idx="11">
                  <c:v>0</c:v>
                </c:pt>
                <c:pt idx="12">
                  <c:v>0</c:v>
                </c:pt>
                <c:pt idx="13">
                  <c:v>0</c:v>
                </c:pt>
                <c:pt idx="14">
                  <c:v>0</c:v>
                </c:pt>
                <c:pt idx="15">
                  <c:v>0</c:v>
                </c:pt>
                <c:pt idx="16">
                  <c:v>3</c:v>
                </c:pt>
                <c:pt idx="17">
                  <c:v>0</c:v>
                </c:pt>
                <c:pt idx="18">
                  <c:v>0</c:v>
                </c:pt>
                <c:pt idx="19">
                  <c:v>0</c:v>
                </c:pt>
                <c:pt idx="20">
                  <c:v>0</c:v>
                </c:pt>
                <c:pt idx="21">
                  <c:v>0</c:v>
                </c:pt>
                <c:pt idx="22">
                  <c:v>3</c:v>
                </c:pt>
                <c:pt idx="23">
                  <c:v>0</c:v>
                </c:pt>
                <c:pt idx="24">
                  <c:v>7</c:v>
                </c:pt>
                <c:pt idx="25">
                  <c:v>0</c:v>
                </c:pt>
                <c:pt idx="26">
                  <c:v>0</c:v>
                </c:pt>
                <c:pt idx="27">
                  <c:v>0</c:v>
                </c:pt>
                <c:pt idx="28">
                  <c:v>0</c:v>
                </c:pt>
                <c:pt idx="29">
                  <c:v>0</c:v>
                </c:pt>
                <c:pt idx="30">
                  <c:v>0</c:v>
                </c:pt>
              </c:numCache>
            </c:numRef>
          </c:bubbleSize>
          <c:bubble3D val="0"/>
          <c:extLst>
            <c:ext xmlns:c16="http://schemas.microsoft.com/office/drawing/2014/chart" uri="{C3380CC4-5D6E-409C-BE32-E72D297353CC}">
              <c16:uniqueId val="{0000000B-D2BD-4B5A-A0E7-EDFCB934D9E7}"/>
            </c:ext>
          </c:extLst>
        </c:ser>
        <c:ser>
          <c:idx val="6"/>
          <c:order val="6"/>
          <c:tx>
            <c:strRef>
              <c:f>xCTS!N1</c:f>
              <c:strCache>
                <c:ptCount val="1"/>
                <c:pt idx="0">
                  <c:v>Fora de HU</c:v>
                </c:pt>
              </c:strCache>
            </c:strRef>
          </c:tx>
          <c:spPr>
            <a:solidFill>
              <a:schemeClr val="accent1">
                <a:lumMod val="60000"/>
                <a:alpha val="75000"/>
              </a:schemeClr>
            </a:solidFill>
            <a:ln w="25400">
              <a:noFill/>
            </a:ln>
            <a:effectLst/>
          </c:spPr>
          <c:invertIfNegative val="0"/>
          <c:xVal>
            <c:numRef>
              <c:f>xCTS!A2:A32</c:f>
              <c:numCache>
                <c:formatCode>m/d/yyyy</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xVal>
          <c:yVal>
            <c:numRef>
              <c:f>xCTS!N2:N32</c:f>
              <c:numCache>
                <c:formatCode>General</c:formatCode>
                <c:ptCount val="31"/>
                <c:pt idx="0">
                  <c:v>7</c:v>
                </c:pt>
                <c:pt idx="1">
                  <c:v>7</c:v>
                </c:pt>
                <c:pt idx="2">
                  <c:v>7</c:v>
                </c:pt>
                <c:pt idx="3">
                  <c:v>7</c:v>
                </c:pt>
                <c:pt idx="4">
                  <c:v>7</c:v>
                </c:pt>
                <c:pt idx="5">
                  <c:v>7</c:v>
                </c:pt>
                <c:pt idx="6">
                  <c:v>7</c:v>
                </c:pt>
                <c:pt idx="7">
                  <c:v>7</c:v>
                </c:pt>
                <c:pt idx="8">
                  <c:v>7</c:v>
                </c:pt>
                <c:pt idx="9">
                  <c:v>7</c:v>
                </c:pt>
                <c:pt idx="10">
                  <c:v>7</c:v>
                </c:pt>
                <c:pt idx="11">
                  <c:v>7</c:v>
                </c:pt>
                <c:pt idx="12">
                  <c:v>7</c:v>
                </c:pt>
                <c:pt idx="13">
                  <c:v>7</c:v>
                </c:pt>
                <c:pt idx="14">
                  <c:v>7</c:v>
                </c:pt>
                <c:pt idx="15">
                  <c:v>7</c:v>
                </c:pt>
                <c:pt idx="16">
                  <c:v>7</c:v>
                </c:pt>
                <c:pt idx="17">
                  <c:v>7</c:v>
                </c:pt>
                <c:pt idx="18">
                  <c:v>7</c:v>
                </c:pt>
                <c:pt idx="19">
                  <c:v>7</c:v>
                </c:pt>
                <c:pt idx="20">
                  <c:v>7</c:v>
                </c:pt>
                <c:pt idx="21">
                  <c:v>7</c:v>
                </c:pt>
                <c:pt idx="22">
                  <c:v>7</c:v>
                </c:pt>
                <c:pt idx="23">
                  <c:v>7</c:v>
                </c:pt>
                <c:pt idx="24">
                  <c:v>7</c:v>
                </c:pt>
                <c:pt idx="25">
                  <c:v>7</c:v>
                </c:pt>
                <c:pt idx="26">
                  <c:v>7</c:v>
                </c:pt>
                <c:pt idx="27">
                  <c:v>7</c:v>
                </c:pt>
                <c:pt idx="28">
                  <c:v>7</c:v>
                </c:pt>
                <c:pt idx="29">
                  <c:v>7</c:v>
                </c:pt>
                <c:pt idx="30">
                  <c:v>7</c:v>
                </c:pt>
              </c:numCache>
            </c:numRef>
          </c:yVal>
          <c:bubbleSize>
            <c:numRef>
              <c:f>xCTS!O2:O32</c:f>
              <c:numCache>
                <c:formatCode>General</c:formatCode>
                <c:ptCount val="31"/>
                <c:pt idx="0">
                  <c:v>0</c:v>
                </c:pt>
                <c:pt idx="1">
                  <c:v>0</c:v>
                </c:pt>
                <c:pt idx="2">
                  <c:v>0</c:v>
                </c:pt>
                <c:pt idx="3">
                  <c:v>0</c:v>
                </c:pt>
                <c:pt idx="4">
                  <c:v>0</c:v>
                </c:pt>
                <c:pt idx="5">
                  <c:v>0</c:v>
                </c:pt>
                <c:pt idx="6">
                  <c:v>0</c:v>
                </c:pt>
                <c:pt idx="7">
                  <c:v>0</c:v>
                </c:pt>
                <c:pt idx="8">
                  <c:v>1</c:v>
                </c:pt>
                <c:pt idx="9">
                  <c:v>1</c:v>
                </c:pt>
                <c:pt idx="10">
                  <c:v>0</c:v>
                </c:pt>
                <c:pt idx="11">
                  <c:v>0</c:v>
                </c:pt>
                <c:pt idx="12">
                  <c:v>0</c:v>
                </c:pt>
                <c:pt idx="13">
                  <c:v>0</c:v>
                </c:pt>
                <c:pt idx="14">
                  <c:v>0</c:v>
                </c:pt>
                <c:pt idx="15">
                  <c:v>1</c:v>
                </c:pt>
                <c:pt idx="16">
                  <c:v>0</c:v>
                </c:pt>
                <c:pt idx="17">
                  <c:v>1</c:v>
                </c:pt>
                <c:pt idx="18">
                  <c:v>1</c:v>
                </c:pt>
                <c:pt idx="19">
                  <c:v>1</c:v>
                </c:pt>
                <c:pt idx="20">
                  <c:v>0</c:v>
                </c:pt>
                <c:pt idx="21">
                  <c:v>0</c:v>
                </c:pt>
                <c:pt idx="22">
                  <c:v>0</c:v>
                </c:pt>
                <c:pt idx="23">
                  <c:v>0</c:v>
                </c:pt>
                <c:pt idx="24">
                  <c:v>0</c:v>
                </c:pt>
                <c:pt idx="25">
                  <c:v>0</c:v>
                </c:pt>
                <c:pt idx="26">
                  <c:v>0</c:v>
                </c:pt>
                <c:pt idx="27">
                  <c:v>0</c:v>
                </c:pt>
                <c:pt idx="28">
                  <c:v>0</c:v>
                </c:pt>
                <c:pt idx="29">
                  <c:v>0</c:v>
                </c:pt>
                <c:pt idx="30">
                  <c:v>0</c:v>
                </c:pt>
              </c:numCache>
            </c:numRef>
          </c:bubbleSize>
          <c:bubble3D val="0"/>
          <c:extLst>
            <c:ext xmlns:c16="http://schemas.microsoft.com/office/drawing/2014/chart" uri="{C3380CC4-5D6E-409C-BE32-E72D297353CC}">
              <c16:uniqueId val="{00000001-84E4-4476-8D1F-8687F1563D25}"/>
            </c:ext>
          </c:extLst>
        </c:ser>
        <c:dLbls>
          <c:showLegendKey val="0"/>
          <c:showVal val="0"/>
          <c:showCatName val="0"/>
          <c:showSerName val="0"/>
          <c:showPercent val="0"/>
          <c:showBubbleSize val="0"/>
        </c:dLbls>
        <c:bubbleScale val="70"/>
        <c:showNegBubbles val="0"/>
        <c:axId val="445992456"/>
        <c:axId val="3298824"/>
      </c:bubbleChart>
      <c:valAx>
        <c:axId val="445992456"/>
        <c:scaling>
          <c:orientation val="minMax"/>
        </c:scaling>
        <c:delete val="0"/>
        <c:axPos val="b"/>
        <c:majorGridlines>
          <c:spPr>
            <a:ln w="9525" cap="flat" cmpd="sng" algn="ctr">
              <a:solidFill>
                <a:schemeClr val="tx1">
                  <a:lumMod val="15000"/>
                  <a:lumOff val="85000"/>
                </a:schemeClr>
              </a:solidFill>
              <a:round/>
            </a:ln>
            <a:effectLst/>
          </c:spPr>
        </c:majorGridlines>
        <c:numFmt formatCode="@" sourceLinked="0"/>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8824"/>
        <c:crosses val="autoZero"/>
        <c:crossBetween val="midCat"/>
        <c:majorUnit val="1"/>
      </c:valAx>
      <c:valAx>
        <c:axId val="3298824"/>
        <c:scaling>
          <c:orientation val="minMax"/>
          <c:max val="8"/>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crossAx val="44599245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r>
              <a:rPr lang="en-US"/>
              <a:t>HISTOGRAMA (qtd de tarefas realizadas em dias)</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endParaRPr lang="en-US"/>
        </a:p>
      </c:txPr>
    </c:title>
    <c:autoTitleDeleted val="0"/>
    <c:plotArea>
      <c:layout/>
      <c:barChart>
        <c:barDir val="col"/>
        <c:grouping val="clustered"/>
        <c:varyColors val="0"/>
        <c:ser>
          <c:idx val="1"/>
          <c:order val="0"/>
          <c:tx>
            <c:strRef>
              <c:f>xHistograma!$B$1</c:f>
              <c:strCache>
                <c:ptCount val="1"/>
                <c:pt idx="0">
                  <c:v>QTD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D7D3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xHistograma!$B$2:$B$32</c:f>
              <c:numCache>
                <c:formatCode>General</c:formatCode>
                <c:ptCount val="31"/>
                <c:pt idx="0">
                  <c:v>2</c:v>
                </c:pt>
                <c:pt idx="1">
                  <c:v>7</c:v>
                </c:pt>
                <c:pt idx="2">
                  <c:v>0</c:v>
                </c:pt>
                <c:pt idx="3">
                  <c:v>0</c:v>
                </c:pt>
                <c:pt idx="4">
                  <c:v>2</c:v>
                </c:pt>
                <c:pt idx="5">
                  <c:v>5</c:v>
                </c:pt>
                <c:pt idx="6">
                  <c:v>4</c:v>
                </c:pt>
                <c:pt idx="7">
                  <c:v>1</c:v>
                </c:pt>
                <c:pt idx="8">
                  <c:v>0</c:v>
                </c:pt>
                <c:pt idx="9">
                  <c:v>0</c:v>
                </c:pt>
                <c:pt idx="10">
                  <c:v>2</c:v>
                </c:pt>
                <c:pt idx="11">
                  <c:v>6</c:v>
                </c:pt>
                <c:pt idx="12">
                  <c:v>2</c:v>
                </c:pt>
                <c:pt idx="13">
                  <c:v>1</c:v>
                </c:pt>
                <c:pt idx="14">
                  <c:v>2</c:v>
                </c:pt>
                <c:pt idx="15">
                  <c:v>0</c:v>
                </c:pt>
                <c:pt idx="16">
                  <c:v>2</c:v>
                </c:pt>
                <c:pt idx="17">
                  <c:v>0</c:v>
                </c:pt>
                <c:pt idx="18">
                  <c:v>1</c:v>
                </c:pt>
                <c:pt idx="19">
                  <c:v>0</c:v>
                </c:pt>
                <c:pt idx="20">
                  <c:v>0</c:v>
                </c:pt>
                <c:pt idx="21">
                  <c:v>2</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5-B594-47E9-971E-E01D6E64AC6F}"/>
            </c:ext>
          </c:extLst>
        </c:ser>
        <c:dLbls>
          <c:showLegendKey val="0"/>
          <c:showVal val="0"/>
          <c:showCatName val="0"/>
          <c:showSerName val="0"/>
          <c:showPercent val="0"/>
          <c:showBubbleSize val="0"/>
        </c:dLbls>
        <c:gapWidth val="219"/>
        <c:overlap val="-27"/>
        <c:axId val="228154376"/>
        <c:axId val="228193800"/>
      </c:barChart>
      <c:catAx>
        <c:axId val="22815437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193800"/>
        <c:crosses val="autoZero"/>
        <c:auto val="1"/>
        <c:lblAlgn val="ctr"/>
        <c:lblOffset val="100"/>
        <c:noMultiLvlLbl val="0"/>
      </c:catAx>
      <c:valAx>
        <c:axId val="228193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154376"/>
        <c:crosses val="autoZero"/>
        <c:crossBetween val="between"/>
      </c:valAx>
      <c:spPr>
        <a:noFill/>
        <a:ln>
          <a:noFill/>
        </a:ln>
        <a:effectLst/>
      </c:spPr>
    </c:plotArea>
    <c:plotVisOnly val="1"/>
    <c:dispBlanksAs val="gap"/>
    <c:showDLblsOverMax val="0"/>
  </c:chart>
  <c:spPr>
    <a:no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baseline="0">
                <a:solidFill>
                  <a:srgbClr val="ED7D31"/>
                </a:solidFill>
                <a:latin typeface="+mn-lt"/>
                <a:ea typeface="+mn-ea"/>
                <a:cs typeface="+mn-cs"/>
              </a:defRPr>
            </a:pPr>
            <a:r>
              <a:rPr lang="en-US"/>
              <a:t>RESUMO GERENCIAL ESTRATÉGICO DAS MÉTRICAS</a:t>
            </a:r>
          </a:p>
        </c:rich>
      </c:tx>
      <c:overlay val="0"/>
      <c:spPr>
        <a:noFill/>
        <a:ln>
          <a:noFill/>
        </a:ln>
        <a:effectLst/>
      </c:spPr>
      <c:txPr>
        <a:bodyPr rot="0" spcFirstLastPara="1" vertOverflow="ellipsis" vert="horz" wrap="square" anchor="ctr" anchorCtr="1"/>
        <a:lstStyle/>
        <a:p>
          <a:pPr>
            <a:defRPr sz="1200" b="0" i="0" u="none" strike="noStrike" baseline="0">
              <a:solidFill>
                <a:srgbClr val="ED7D31"/>
              </a:solidFill>
              <a:latin typeface="+mn-lt"/>
              <a:ea typeface="+mn-ea"/>
              <a:cs typeface="+mn-cs"/>
            </a:defRPr>
          </a:pPr>
          <a:endParaRPr lang="en-US"/>
        </a:p>
      </c:txPr>
    </c:title>
    <c:autoTitleDeleted val="0"/>
    <c:plotArea>
      <c:layout/>
      <c:barChart>
        <c:barDir val="bar"/>
        <c:grouping val="clustered"/>
        <c:varyColors val="0"/>
        <c:ser>
          <c:idx val="0"/>
          <c:order val="0"/>
          <c:tx>
            <c:strRef>
              <c:f>xHistograma2!$B$1</c:f>
              <c:strCache>
                <c:ptCount val="1"/>
                <c:pt idx="0">
                  <c:v>Dado Numérico (dias)</c:v>
                </c:pt>
              </c:strCache>
            </c:strRef>
          </c:tx>
          <c:spPr>
            <a:solidFill>
              <a:srgbClr val="FFD966"/>
            </a:solidFill>
            <a:ln>
              <a:solidFill>
                <a:srgbClr val="000000"/>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xHistograma2!$A$2:$A$8</c:f>
              <c:strCache>
                <c:ptCount val="7"/>
                <c:pt idx="0">
                  <c:v>Moda: Tempo de ciclo mais frequente</c:v>
                </c:pt>
                <c:pt idx="1">
                  <c:v>Mediana (50% das entregas): concluídas neste prazo</c:v>
                </c:pt>
                <c:pt idx="2">
                  <c:v>Lead Time Médio: Tempo médio geral de ciclo</c:v>
                </c:pt>
                <c:pt idx="3">
                  <c:v>Percentil 75% (Corte de Maioria): 3/4 das demandas</c:v>
                </c:pt>
                <c:pt idx="4">
                  <c:v>SLE - Service Level Expectation (90%): Confiança</c:v>
                </c:pt>
                <c:pt idx="5">
                  <c:v>Cycle Time Médio: Tempo entre criação e fim</c:v>
                </c:pt>
                <c:pt idx="6">
                  <c:v>Amplitude de Desvio: Diferença entre mais rápida [1] e lenta [18]</c:v>
                </c:pt>
              </c:strCache>
            </c:strRef>
          </c:cat>
          <c:val>
            <c:numRef>
              <c:f>xHistograma2!$B$2:$B$8</c:f>
              <c:numCache>
                <c:formatCode>General</c:formatCode>
                <c:ptCount val="7"/>
                <c:pt idx="0">
                  <c:v>9</c:v>
                </c:pt>
                <c:pt idx="1">
                  <c:v>9</c:v>
                </c:pt>
                <c:pt idx="2">
                  <c:v>10.15</c:v>
                </c:pt>
                <c:pt idx="3">
                  <c:v>13</c:v>
                </c:pt>
                <c:pt idx="4">
                  <c:v>17</c:v>
                </c:pt>
                <c:pt idx="5">
                  <c:v>20.3</c:v>
                </c:pt>
                <c:pt idx="6">
                  <c:v>17</c:v>
                </c:pt>
              </c:numCache>
            </c:numRef>
          </c:val>
          <c:extLst>
            <c:ext xmlns:c16="http://schemas.microsoft.com/office/drawing/2014/chart" uri="{C3380CC4-5D6E-409C-BE32-E72D297353CC}">
              <c16:uniqueId val="{00000004-391D-4E4F-AC29-8A9EB11B8A65}"/>
            </c:ext>
          </c:extLst>
        </c:ser>
        <c:dLbls>
          <c:showLegendKey val="0"/>
          <c:showVal val="1"/>
          <c:showCatName val="0"/>
          <c:showSerName val="0"/>
          <c:showPercent val="0"/>
          <c:showBubbleSize val="0"/>
        </c:dLbls>
        <c:gapWidth val="70"/>
        <c:axId val="582573575"/>
        <c:axId val="582583815"/>
      </c:barChart>
      <c:catAx>
        <c:axId val="582573575"/>
        <c:scaling>
          <c:orientation val="maxMin"/>
        </c:scaling>
        <c:delete val="0"/>
        <c:axPos val="r"/>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baseline="0">
                <a:solidFill>
                  <a:schemeClr val="tx1">
                    <a:lumMod val="65000"/>
                    <a:lumOff val="35000"/>
                  </a:schemeClr>
                </a:solidFill>
                <a:latin typeface="+mn-lt"/>
                <a:ea typeface="+mn-ea"/>
                <a:cs typeface="+mn-cs"/>
              </a:defRPr>
            </a:pPr>
            <a:endParaRPr lang="en-US"/>
          </a:p>
        </c:txPr>
        <c:crossAx val="582583815"/>
        <c:crosses val="autoZero"/>
        <c:auto val="1"/>
        <c:lblAlgn val="ctr"/>
        <c:lblOffset val="100"/>
        <c:noMultiLvlLbl val="0"/>
      </c:catAx>
      <c:valAx>
        <c:axId val="582583815"/>
        <c:scaling>
          <c:orientation val="maxMin"/>
        </c:scaling>
        <c:delete val="1"/>
        <c:axPos val="b"/>
        <c:numFmt formatCode="General" sourceLinked="1"/>
        <c:majorTickMark val="cross"/>
        <c:minorTickMark val="none"/>
        <c:tickLblPos val="nextTo"/>
        <c:crossAx val="582573575"/>
        <c:crosses val="max"/>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rgbClr val="C6E0B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xBurndownStorypoints!$B$1:$D$1</c:f>
              <c:strCache>
                <c:ptCount val="3"/>
                <c:pt idx="0">
                  <c:v>Meta (Linear)</c:v>
                </c:pt>
                <c:pt idx="1">
                  <c:v>Planejado</c:v>
                </c:pt>
                <c:pt idx="2">
                  <c:v>A Realizar</c:v>
                </c:pt>
              </c:strCache>
            </c:strRef>
          </c:cat>
          <c:val>
            <c:numRef>
              <c:f>xBurndownStorypoints!B2</c:f>
              <c:numCache>
                <c:formatCode>General</c:formatCode>
                <c:ptCount val="1"/>
                <c:pt idx="0">
                  <c:v>198</c:v>
                </c:pt>
              </c:numCache>
            </c:numRef>
          </c:val>
          <c:extLst>
            <c:ext xmlns:c16="http://schemas.microsoft.com/office/drawing/2014/chart" uri="{C3380CC4-5D6E-409C-BE32-E72D297353CC}">
              <c16:uniqueId val="{00000007-4D5C-491B-8957-194496346DF5}"/>
            </c:ext>
          </c:extLst>
        </c:ser>
        <c:dLbls>
          <c:showLegendKey val="0"/>
          <c:showVal val="0"/>
          <c:showCatName val="0"/>
          <c:showSerName val="0"/>
          <c:showPercent val="0"/>
          <c:showBubbleSize val="0"/>
        </c:dLbls>
        <c:gapWidth val="0"/>
        <c:overlap val="100"/>
        <c:axId val="1494693896"/>
        <c:axId val="1494706184"/>
      </c:barChart>
      <c:barChart>
        <c:barDir val="col"/>
        <c:grouping val="stacked"/>
        <c:varyColors val="0"/>
        <c:ser>
          <c:idx val="30"/>
          <c:order val="1"/>
          <c:spPr>
            <a:solidFill>
              <a:srgbClr val="F8CBA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xBurndownStorypoints!$B$1:$D$1</c:f>
              <c:strCache>
                <c:ptCount val="3"/>
                <c:pt idx="0">
                  <c:v>Meta (Linear)</c:v>
                </c:pt>
                <c:pt idx="1">
                  <c:v>Planejado</c:v>
                </c:pt>
                <c:pt idx="2">
                  <c:v>A Realizar</c:v>
                </c:pt>
              </c:strCache>
            </c:strRef>
          </c:cat>
          <c:val>
            <c:numRef>
              <c:f>xBurndownStorypoints!D32</c:f>
              <c:numCache>
                <c:formatCode>General</c:formatCode>
                <c:ptCount val="1"/>
                <c:pt idx="0">
                  <c:v>0</c:v>
                </c:pt>
              </c:numCache>
            </c:numRef>
          </c:val>
          <c:extLst>
            <c:ext xmlns:c16="http://schemas.microsoft.com/office/drawing/2014/chart" uri="{C3380CC4-5D6E-409C-BE32-E72D297353CC}">
              <c16:uniqueId val="{00000043-4D5C-491B-8957-194496346DF5}"/>
            </c:ext>
          </c:extLst>
        </c:ser>
        <c:dLbls>
          <c:showLegendKey val="0"/>
          <c:showVal val="0"/>
          <c:showCatName val="0"/>
          <c:showSerName val="0"/>
          <c:showPercent val="0"/>
          <c:showBubbleSize val="0"/>
        </c:dLbls>
        <c:gapWidth val="0"/>
        <c:overlap val="100"/>
        <c:axId val="2039135752"/>
        <c:axId val="2039132168"/>
      </c:barChart>
      <c:catAx>
        <c:axId val="1494693896"/>
        <c:scaling>
          <c:orientation val="minMax"/>
        </c:scaling>
        <c:delete val="1"/>
        <c:axPos val="b"/>
        <c:numFmt formatCode="General" sourceLinked="1"/>
        <c:majorTickMark val="none"/>
        <c:minorTickMark val="none"/>
        <c:tickLblPos val="nextTo"/>
        <c:crossAx val="1494706184"/>
        <c:crosses val="autoZero"/>
        <c:auto val="1"/>
        <c:lblAlgn val="ctr"/>
        <c:lblOffset val="100"/>
        <c:noMultiLvlLbl val="0"/>
      </c:catAx>
      <c:valAx>
        <c:axId val="1494706184"/>
        <c:scaling>
          <c:orientation val="minMax"/>
        </c:scaling>
        <c:delete val="1"/>
        <c:axPos val="l"/>
        <c:numFmt formatCode="General" sourceLinked="1"/>
        <c:majorTickMark val="none"/>
        <c:minorTickMark val="none"/>
        <c:tickLblPos val="nextTo"/>
        <c:crossAx val="1494693896"/>
        <c:crosses val="autoZero"/>
        <c:crossBetween val="between"/>
      </c:valAx>
      <c:valAx>
        <c:axId val="2039132168"/>
        <c:scaling>
          <c:orientation val="minMax"/>
        </c:scaling>
        <c:delete val="1"/>
        <c:axPos val="r"/>
        <c:numFmt formatCode="General" sourceLinked="1"/>
        <c:majorTickMark val="out"/>
        <c:minorTickMark val="none"/>
        <c:tickLblPos val="nextTo"/>
        <c:crossAx val="2039135752"/>
        <c:crosses val="max"/>
        <c:crossBetween val="between"/>
      </c:valAx>
      <c:catAx>
        <c:axId val="2039135752"/>
        <c:scaling>
          <c:orientation val="minMax"/>
        </c:scaling>
        <c:delete val="1"/>
        <c:axPos val="b"/>
        <c:numFmt formatCode="General" sourceLinked="1"/>
        <c:majorTickMark val="out"/>
        <c:minorTickMark val="none"/>
        <c:tickLblPos val="nextTo"/>
        <c:crossAx val="2039132168"/>
        <c:crosses val="autoZero"/>
        <c:auto val="1"/>
        <c:lblAlgn val="ctr"/>
        <c:lblOffset val="100"/>
        <c:noMultiLvlLbl val="0"/>
      </c:catAx>
      <c:spPr>
        <a:noFill/>
        <a:ln>
          <a:noFill/>
        </a:ln>
        <a:effectLst/>
      </c:spPr>
    </c:plotArea>
    <c:plotVisOnly val="1"/>
    <c:dispBlanksAs val="gap"/>
    <c:showDLblsOverMax val="0"/>
  </c:chart>
  <c:spPr>
    <a:no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rgbClr val="C6E0B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xBurndownHU!B1:D1</c:f>
              <c:strCache>
                <c:ptCount val="3"/>
                <c:pt idx="0">
                  <c:v>Meta (Linear)</c:v>
                </c:pt>
                <c:pt idx="1">
                  <c:v>Planejado</c:v>
                </c:pt>
                <c:pt idx="2">
                  <c:v>A Realizar</c:v>
                </c:pt>
              </c:strCache>
            </c:strRef>
          </c:cat>
          <c:val>
            <c:numRef>
              <c:f>xBurndownHU!B2</c:f>
              <c:numCache>
                <c:formatCode>General</c:formatCode>
                <c:ptCount val="1"/>
                <c:pt idx="0">
                  <c:v>37</c:v>
                </c:pt>
              </c:numCache>
            </c:numRef>
          </c:val>
          <c:extLst>
            <c:ext xmlns:c16="http://schemas.microsoft.com/office/drawing/2014/chart" uri="{C3380CC4-5D6E-409C-BE32-E72D297353CC}">
              <c16:uniqueId val="{00000000-151B-48A3-A6DC-F28D2FF2B9AA}"/>
            </c:ext>
          </c:extLst>
        </c:ser>
        <c:dLbls>
          <c:showLegendKey val="0"/>
          <c:showVal val="0"/>
          <c:showCatName val="0"/>
          <c:showSerName val="0"/>
          <c:showPercent val="0"/>
          <c:showBubbleSize val="0"/>
        </c:dLbls>
        <c:gapWidth val="0"/>
        <c:overlap val="100"/>
        <c:axId val="1494693896"/>
        <c:axId val="1494706184"/>
      </c:barChart>
      <c:barChart>
        <c:barDir val="col"/>
        <c:grouping val="stacked"/>
        <c:varyColors val="0"/>
        <c:ser>
          <c:idx val="30"/>
          <c:order val="1"/>
          <c:spPr>
            <a:solidFill>
              <a:srgbClr val="F8CBA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xBurndownHU!B1:D1</c:f>
              <c:strCache>
                <c:ptCount val="3"/>
                <c:pt idx="0">
                  <c:v>Meta (Linear)</c:v>
                </c:pt>
                <c:pt idx="1">
                  <c:v>Planejado</c:v>
                </c:pt>
                <c:pt idx="2">
                  <c:v>A Realizar</c:v>
                </c:pt>
              </c:strCache>
            </c:strRef>
          </c:cat>
          <c:val>
            <c:numRef>
              <c:f>xBurndownHU!D32</c:f>
              <c:numCache>
                <c:formatCode>General</c:formatCode>
                <c:ptCount val="1"/>
                <c:pt idx="0">
                  <c:v>0</c:v>
                </c:pt>
              </c:numCache>
            </c:numRef>
          </c:val>
          <c:extLst>
            <c:ext xmlns:c16="http://schemas.microsoft.com/office/drawing/2014/chart" uri="{C3380CC4-5D6E-409C-BE32-E72D297353CC}">
              <c16:uniqueId val="{00000001-151B-48A3-A6DC-F28D2FF2B9AA}"/>
            </c:ext>
          </c:extLst>
        </c:ser>
        <c:dLbls>
          <c:showLegendKey val="0"/>
          <c:showVal val="0"/>
          <c:showCatName val="0"/>
          <c:showSerName val="0"/>
          <c:showPercent val="0"/>
          <c:showBubbleSize val="0"/>
        </c:dLbls>
        <c:gapWidth val="0"/>
        <c:overlap val="100"/>
        <c:axId val="2039135752"/>
        <c:axId val="2039132168"/>
      </c:barChart>
      <c:catAx>
        <c:axId val="1494693896"/>
        <c:scaling>
          <c:orientation val="minMax"/>
        </c:scaling>
        <c:delete val="1"/>
        <c:axPos val="b"/>
        <c:numFmt formatCode="General" sourceLinked="1"/>
        <c:majorTickMark val="none"/>
        <c:minorTickMark val="none"/>
        <c:tickLblPos val="nextTo"/>
        <c:crossAx val="1494706184"/>
        <c:crosses val="autoZero"/>
        <c:auto val="1"/>
        <c:lblAlgn val="ctr"/>
        <c:lblOffset val="100"/>
        <c:noMultiLvlLbl val="0"/>
      </c:catAx>
      <c:valAx>
        <c:axId val="1494706184"/>
        <c:scaling>
          <c:orientation val="minMax"/>
        </c:scaling>
        <c:delete val="1"/>
        <c:axPos val="l"/>
        <c:numFmt formatCode="General" sourceLinked="1"/>
        <c:majorTickMark val="none"/>
        <c:minorTickMark val="none"/>
        <c:tickLblPos val="nextTo"/>
        <c:crossAx val="1494693896"/>
        <c:crosses val="autoZero"/>
        <c:crossBetween val="between"/>
      </c:valAx>
      <c:valAx>
        <c:axId val="2039132168"/>
        <c:scaling>
          <c:orientation val="minMax"/>
        </c:scaling>
        <c:delete val="1"/>
        <c:axPos val="r"/>
        <c:numFmt formatCode="General" sourceLinked="1"/>
        <c:majorTickMark val="out"/>
        <c:minorTickMark val="none"/>
        <c:tickLblPos val="nextTo"/>
        <c:crossAx val="2039135752"/>
        <c:crosses val="max"/>
        <c:crossBetween val="between"/>
      </c:valAx>
      <c:catAx>
        <c:axId val="2039135752"/>
        <c:scaling>
          <c:orientation val="minMax"/>
        </c:scaling>
        <c:delete val="1"/>
        <c:axPos val="b"/>
        <c:numFmt formatCode="General" sourceLinked="1"/>
        <c:majorTickMark val="out"/>
        <c:minorTickMark val="none"/>
        <c:tickLblPos val="nextTo"/>
        <c:crossAx val="2039132168"/>
        <c:crosses val="autoZero"/>
        <c:auto val="1"/>
        <c:lblAlgn val="ctr"/>
        <c:lblOffset val="100"/>
        <c:noMultiLvlLbl val="0"/>
      </c:catAx>
      <c:spPr>
        <a:noFill/>
        <a:ln>
          <a:noFill/>
        </a:ln>
        <a:effectLst/>
      </c:spPr>
    </c:plotArea>
    <c:plotVisOnly val="1"/>
    <c:dispBlanksAs val="gap"/>
    <c:showDLblsOverMax val="0"/>
  </c:chart>
  <c:spPr>
    <a:no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rgbClr val="C6E0B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xBurndownTarefas!B1</c:f>
              <c:strCache>
                <c:ptCount val="1"/>
                <c:pt idx="0">
                  <c:v>Meta (Linear)</c:v>
                </c:pt>
              </c:strCache>
            </c:strRef>
          </c:cat>
          <c:val>
            <c:numRef>
              <c:f>xBurndownTarefas!B2</c:f>
              <c:numCache>
                <c:formatCode>General</c:formatCode>
                <c:ptCount val="1"/>
                <c:pt idx="0">
                  <c:v>40</c:v>
                </c:pt>
              </c:numCache>
            </c:numRef>
          </c:val>
          <c:extLst>
            <c:ext xmlns:c16="http://schemas.microsoft.com/office/drawing/2014/chart" uri="{C3380CC4-5D6E-409C-BE32-E72D297353CC}">
              <c16:uniqueId val="{00000000-EAD5-4CAD-85F3-2DE6C6D0A9E9}"/>
            </c:ext>
          </c:extLst>
        </c:ser>
        <c:dLbls>
          <c:showLegendKey val="0"/>
          <c:showVal val="0"/>
          <c:showCatName val="0"/>
          <c:showSerName val="0"/>
          <c:showPercent val="0"/>
          <c:showBubbleSize val="0"/>
        </c:dLbls>
        <c:gapWidth val="0"/>
        <c:overlap val="100"/>
        <c:axId val="1494693896"/>
        <c:axId val="1494706184"/>
      </c:barChart>
      <c:barChart>
        <c:barDir val="col"/>
        <c:grouping val="stacked"/>
        <c:varyColors val="0"/>
        <c:ser>
          <c:idx val="30"/>
          <c:order val="1"/>
          <c:spPr>
            <a:solidFill>
              <a:srgbClr val="F8CBA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xBurndownTarefas!B1</c:f>
              <c:strCache>
                <c:ptCount val="1"/>
                <c:pt idx="0">
                  <c:v>Meta (Linear)</c:v>
                </c:pt>
              </c:strCache>
            </c:strRef>
          </c:cat>
          <c:val>
            <c:numRef>
              <c:f>xBurndownTarefas!D32</c:f>
              <c:numCache>
                <c:formatCode>General</c:formatCode>
                <c:ptCount val="1"/>
                <c:pt idx="0">
                  <c:v>0</c:v>
                </c:pt>
              </c:numCache>
            </c:numRef>
          </c:val>
          <c:extLst>
            <c:ext xmlns:c16="http://schemas.microsoft.com/office/drawing/2014/chart" uri="{C3380CC4-5D6E-409C-BE32-E72D297353CC}">
              <c16:uniqueId val="{00000001-EAD5-4CAD-85F3-2DE6C6D0A9E9}"/>
            </c:ext>
          </c:extLst>
        </c:ser>
        <c:dLbls>
          <c:showLegendKey val="0"/>
          <c:showVal val="0"/>
          <c:showCatName val="0"/>
          <c:showSerName val="0"/>
          <c:showPercent val="0"/>
          <c:showBubbleSize val="0"/>
        </c:dLbls>
        <c:gapWidth val="0"/>
        <c:overlap val="100"/>
        <c:axId val="2039135752"/>
        <c:axId val="2039132168"/>
      </c:barChart>
      <c:catAx>
        <c:axId val="1494693896"/>
        <c:scaling>
          <c:orientation val="minMax"/>
        </c:scaling>
        <c:delete val="1"/>
        <c:axPos val="b"/>
        <c:numFmt formatCode="General" sourceLinked="1"/>
        <c:majorTickMark val="none"/>
        <c:minorTickMark val="none"/>
        <c:tickLblPos val="nextTo"/>
        <c:crossAx val="1494706184"/>
        <c:crosses val="autoZero"/>
        <c:auto val="1"/>
        <c:lblAlgn val="ctr"/>
        <c:lblOffset val="100"/>
        <c:noMultiLvlLbl val="0"/>
      </c:catAx>
      <c:valAx>
        <c:axId val="1494706184"/>
        <c:scaling>
          <c:orientation val="minMax"/>
        </c:scaling>
        <c:delete val="1"/>
        <c:axPos val="l"/>
        <c:numFmt formatCode="General" sourceLinked="1"/>
        <c:majorTickMark val="none"/>
        <c:minorTickMark val="none"/>
        <c:tickLblPos val="nextTo"/>
        <c:crossAx val="1494693896"/>
        <c:crosses val="autoZero"/>
        <c:crossBetween val="between"/>
      </c:valAx>
      <c:valAx>
        <c:axId val="2039132168"/>
        <c:scaling>
          <c:orientation val="minMax"/>
        </c:scaling>
        <c:delete val="1"/>
        <c:axPos val="r"/>
        <c:numFmt formatCode="General" sourceLinked="1"/>
        <c:majorTickMark val="out"/>
        <c:minorTickMark val="none"/>
        <c:tickLblPos val="nextTo"/>
        <c:crossAx val="2039135752"/>
        <c:crosses val="max"/>
        <c:crossBetween val="between"/>
      </c:valAx>
      <c:catAx>
        <c:axId val="2039135752"/>
        <c:scaling>
          <c:orientation val="minMax"/>
        </c:scaling>
        <c:delete val="1"/>
        <c:axPos val="b"/>
        <c:numFmt formatCode="General" sourceLinked="1"/>
        <c:majorTickMark val="out"/>
        <c:minorTickMark val="none"/>
        <c:tickLblPos val="nextTo"/>
        <c:crossAx val="2039132168"/>
        <c:crosses val="autoZero"/>
        <c:auto val="1"/>
        <c:lblAlgn val="ctr"/>
        <c:lblOffset val="100"/>
        <c:noMultiLvlLbl val="0"/>
      </c:catAx>
      <c:spPr>
        <a:noFill/>
        <a:ln>
          <a:noFill/>
        </a:ln>
        <a:effectLst/>
      </c:spPr>
    </c:plotArea>
    <c:plotVisOnly val="1"/>
    <c:dispBlanksAs val="gap"/>
    <c:showDLblsOverMax val="0"/>
  </c:chart>
  <c:spPr>
    <a:no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r>
              <a:rPr lang="en-US"/>
              <a:t>VELOCITY - EVOLUÇÃO DE STORYPOINTS NO PROJETO POR CATEGORIA</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endParaRPr lang="en-US"/>
        </a:p>
      </c:txPr>
    </c:title>
    <c:autoTitleDeleted val="0"/>
    <c:plotArea>
      <c:layout/>
      <c:lineChart>
        <c:grouping val="standard"/>
        <c:varyColors val="0"/>
        <c:ser>
          <c:idx val="0"/>
          <c:order val="0"/>
          <c:tx>
            <c:strRef>
              <c:f>Report!$G$36:$J$36</c:f>
              <c:strCache>
                <c:ptCount val="4"/>
                <c:pt idx="0">
                  <c:v>PO (DOCS, LINKS, LEIS, ETC.)</c:v>
                </c:pt>
                <c:pt idx="1">
                  <c:v>N/A</c:v>
                </c:pt>
                <c:pt idx="2">
                  <c:v>N/A</c:v>
                </c:pt>
                <c:pt idx="3">
                  <c:v>N/A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Report!$K$36:$O$36</c:f>
              <c:numCache>
                <c:formatCode>General</c:formatCode>
                <c:ptCount val="5"/>
                <c:pt idx="0">
                  <c:v>0</c:v>
                </c:pt>
                <c:pt idx="1">
                  <c:v>0</c:v>
                </c:pt>
                <c:pt idx="2">
                  <c:v>0</c:v>
                </c:pt>
                <c:pt idx="3">
                  <c:v>48</c:v>
                </c:pt>
                <c:pt idx="4">
                  <c:v>48</c:v>
                </c:pt>
              </c:numCache>
            </c:numRef>
          </c:val>
          <c:smooth val="0"/>
          <c:extLst>
            <c:ext xmlns:c16="http://schemas.microsoft.com/office/drawing/2014/chart" uri="{C3380CC4-5D6E-409C-BE32-E72D297353CC}">
              <c16:uniqueId val="{00000001-BFBD-4F6A-A761-BF09D319A850}"/>
            </c:ext>
          </c:extLst>
        </c:ser>
        <c:ser>
          <c:idx val="1"/>
          <c:order val="1"/>
          <c:tx>
            <c:strRef>
              <c:f>Report!$G$37:$J$37</c:f>
              <c:strCache>
                <c:ptCount val="4"/>
                <c:pt idx="0">
                  <c:v>REQUISITOS</c:v>
                </c:pt>
                <c:pt idx="1">
                  <c:v>N/A</c:v>
                </c:pt>
                <c:pt idx="2">
                  <c:v>N/A</c:v>
                </c:pt>
                <c:pt idx="3">
                  <c:v>N/A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Report!$K$37:$O$37</c:f>
              <c:numCache>
                <c:formatCode>General</c:formatCode>
                <c:ptCount val="5"/>
                <c:pt idx="0">
                  <c:v>25</c:v>
                </c:pt>
                <c:pt idx="1">
                  <c:v>25</c:v>
                </c:pt>
                <c:pt idx="2">
                  <c:v>25</c:v>
                </c:pt>
                <c:pt idx="3">
                  <c:v>48</c:v>
                </c:pt>
                <c:pt idx="4">
                  <c:v>48</c:v>
                </c:pt>
              </c:numCache>
            </c:numRef>
          </c:val>
          <c:smooth val="0"/>
          <c:extLst>
            <c:ext xmlns:c16="http://schemas.microsoft.com/office/drawing/2014/chart" uri="{C3380CC4-5D6E-409C-BE32-E72D297353CC}">
              <c16:uniqueId val="{00000003-BFBD-4F6A-A761-BF09D319A850}"/>
            </c:ext>
          </c:extLst>
        </c:ser>
        <c:ser>
          <c:idx val="2"/>
          <c:order val="2"/>
          <c:tx>
            <c:strRef>
              <c:f>Report!$G$38:$J$38</c:f>
              <c:strCache>
                <c:ptCount val="4"/>
                <c:pt idx="0">
                  <c:v>UX/UI  (DESKTOP)</c:v>
                </c:pt>
                <c:pt idx="1">
                  <c:v>N/A</c:v>
                </c:pt>
                <c:pt idx="2">
                  <c:v>N/A</c:v>
                </c:pt>
                <c:pt idx="3">
                  <c:v>N/A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Report!$K$38:$O$38</c:f>
              <c:numCache>
                <c:formatCode>General</c:formatCode>
                <c:ptCount val="5"/>
                <c:pt idx="0">
                  <c:v>16</c:v>
                </c:pt>
                <c:pt idx="1">
                  <c:v>16</c:v>
                </c:pt>
                <c:pt idx="2">
                  <c:v>16</c:v>
                </c:pt>
                <c:pt idx="3">
                  <c:v>22</c:v>
                </c:pt>
                <c:pt idx="4">
                  <c:v>22</c:v>
                </c:pt>
              </c:numCache>
            </c:numRef>
          </c:val>
          <c:smooth val="0"/>
          <c:extLst>
            <c:ext xmlns:c16="http://schemas.microsoft.com/office/drawing/2014/chart" uri="{C3380CC4-5D6E-409C-BE32-E72D297353CC}">
              <c16:uniqueId val="{00000005-BFBD-4F6A-A761-BF09D319A850}"/>
            </c:ext>
          </c:extLst>
        </c:ser>
        <c:ser>
          <c:idx val="3"/>
          <c:order val="3"/>
          <c:tx>
            <c:strRef>
              <c:f>Report!$G$39:$J$39</c:f>
              <c:strCache>
                <c:ptCount val="4"/>
                <c:pt idx="0">
                  <c:v>UX/UI  (MOBILE)</c:v>
                </c:pt>
                <c:pt idx="1">
                  <c:v>N/A</c:v>
                </c:pt>
                <c:pt idx="2">
                  <c:v>N/A</c:v>
                </c:pt>
                <c:pt idx="3">
                  <c:v>N/A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Report!$K$39:$O$39</c:f>
              <c:numCache>
                <c:formatCode>General</c:formatCode>
                <c:ptCount val="5"/>
                <c:pt idx="0">
                  <c:v>16</c:v>
                </c:pt>
                <c:pt idx="1">
                  <c:v>16</c:v>
                </c:pt>
                <c:pt idx="2">
                  <c:v>16</c:v>
                </c:pt>
                <c:pt idx="3">
                  <c:v>22</c:v>
                </c:pt>
                <c:pt idx="4">
                  <c:v>22</c:v>
                </c:pt>
              </c:numCache>
            </c:numRef>
          </c:val>
          <c:smooth val="0"/>
          <c:extLst>
            <c:ext xmlns:c16="http://schemas.microsoft.com/office/drawing/2014/chart" uri="{C3380CC4-5D6E-409C-BE32-E72D297353CC}">
              <c16:uniqueId val="{00000007-BFBD-4F6A-A761-BF09D319A850}"/>
            </c:ext>
          </c:extLst>
        </c:ser>
        <c:ser>
          <c:idx val="4"/>
          <c:order val="4"/>
          <c:tx>
            <c:strRef>
              <c:f>Report!$G$40:$J$40</c:f>
              <c:strCache>
                <c:ptCount val="4"/>
                <c:pt idx="0">
                  <c:v>BENCHMARK COMPONENTES - DEV</c:v>
                </c:pt>
                <c:pt idx="1">
                  <c:v>N/A</c:v>
                </c:pt>
                <c:pt idx="2">
                  <c:v>N/A</c:v>
                </c:pt>
                <c:pt idx="3">
                  <c:v>N/A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f>Report!$K$40:$O$40</c:f>
              <c:numCache>
                <c:formatCode>General</c:formatCode>
                <c:ptCount val="5"/>
                <c:pt idx="0">
                  <c:v>24</c:v>
                </c:pt>
                <c:pt idx="1">
                  <c:v>24</c:v>
                </c:pt>
                <c:pt idx="2">
                  <c:v>24</c:v>
                </c:pt>
                <c:pt idx="3">
                  <c:v>8</c:v>
                </c:pt>
                <c:pt idx="4">
                  <c:v>8</c:v>
                </c:pt>
              </c:numCache>
            </c:numRef>
          </c:val>
          <c:smooth val="0"/>
          <c:extLst>
            <c:ext xmlns:c16="http://schemas.microsoft.com/office/drawing/2014/chart" uri="{C3380CC4-5D6E-409C-BE32-E72D297353CC}">
              <c16:uniqueId val="{00000009-BFBD-4F6A-A761-BF09D319A850}"/>
            </c:ext>
          </c:extLst>
        </c:ser>
        <c:ser>
          <c:idx val="5"/>
          <c:order val="5"/>
          <c:tx>
            <c:strRef>
              <c:f>Report!$G$41:$J$41</c:f>
              <c:strCache>
                <c:ptCount val="4"/>
                <c:pt idx="0">
                  <c:v>CONSTRUCAO COMPONENTES - DEV</c:v>
                </c:pt>
                <c:pt idx="1">
                  <c:v>N/A</c:v>
                </c:pt>
                <c:pt idx="2">
                  <c:v>N/A</c:v>
                </c:pt>
                <c:pt idx="3">
                  <c:v>N/A</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val>
            <c:numRef>
              <c:f>Report!$K$41:$O$41</c:f>
              <c:numCache>
                <c:formatCode>General</c:formatCode>
                <c:ptCount val="5"/>
                <c:pt idx="0">
                  <c:v>24</c:v>
                </c:pt>
                <c:pt idx="1">
                  <c:v>24</c:v>
                </c:pt>
                <c:pt idx="2">
                  <c:v>24</c:v>
                </c:pt>
                <c:pt idx="3">
                  <c:v>23</c:v>
                </c:pt>
                <c:pt idx="4">
                  <c:v>23</c:v>
                </c:pt>
              </c:numCache>
            </c:numRef>
          </c:val>
          <c:smooth val="0"/>
          <c:extLst>
            <c:ext xmlns:c16="http://schemas.microsoft.com/office/drawing/2014/chart" uri="{C3380CC4-5D6E-409C-BE32-E72D297353CC}">
              <c16:uniqueId val="{0000000B-BFBD-4F6A-A761-BF09D319A850}"/>
            </c:ext>
          </c:extLst>
        </c:ser>
        <c:ser>
          <c:idx val="6"/>
          <c:order val="6"/>
          <c:tx>
            <c:strRef>
              <c:f>Report!$G$42:$J$42</c:f>
              <c:strCache>
                <c:ptCount val="4"/>
                <c:pt idx="0">
                  <c:v>TESTES- DEV</c:v>
                </c:pt>
                <c:pt idx="1">
                  <c:v>N/A</c:v>
                </c:pt>
                <c:pt idx="2">
                  <c:v>N/A</c:v>
                </c:pt>
                <c:pt idx="3">
                  <c:v>N/A</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val>
            <c:numRef>
              <c:f>Report!$K$42:$O$42</c:f>
              <c:numCache>
                <c:formatCode>General</c:formatCode>
                <c:ptCount val="5"/>
                <c:pt idx="0">
                  <c:v>24</c:v>
                </c:pt>
                <c:pt idx="1">
                  <c:v>24</c:v>
                </c:pt>
                <c:pt idx="2">
                  <c:v>24</c:v>
                </c:pt>
                <c:pt idx="3">
                  <c:v>8</c:v>
                </c:pt>
                <c:pt idx="4">
                  <c:v>8</c:v>
                </c:pt>
              </c:numCache>
            </c:numRef>
          </c:val>
          <c:smooth val="0"/>
          <c:extLst>
            <c:ext xmlns:c16="http://schemas.microsoft.com/office/drawing/2014/chart" uri="{C3380CC4-5D6E-409C-BE32-E72D297353CC}">
              <c16:uniqueId val="{0000000D-BFBD-4F6A-A761-BF09D319A850}"/>
            </c:ext>
          </c:extLst>
        </c:ser>
        <c:ser>
          <c:idx val="7"/>
          <c:order val="7"/>
          <c:tx>
            <c:strRef>
              <c:f>Report!$G$43:$J$43</c:f>
              <c:strCache>
                <c:ptCount val="4"/>
                <c:pt idx="0">
                  <c:v>REGISTRO e PUBLICAÇÃO (Storybook) - DEV</c:v>
                </c:pt>
                <c:pt idx="1">
                  <c:v>N/A</c:v>
                </c:pt>
                <c:pt idx="2">
                  <c:v>N/A</c:v>
                </c:pt>
                <c:pt idx="3">
                  <c:v>N/A</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val>
            <c:numRef>
              <c:f>Report!$K$43:$O$43</c:f>
              <c:numCache>
                <c:formatCode>General</c:formatCode>
                <c:ptCount val="5"/>
                <c:pt idx="0">
                  <c:v>24</c:v>
                </c:pt>
                <c:pt idx="1">
                  <c:v>24</c:v>
                </c:pt>
                <c:pt idx="2">
                  <c:v>24</c:v>
                </c:pt>
                <c:pt idx="3">
                  <c:v>19</c:v>
                </c:pt>
                <c:pt idx="4">
                  <c:v>19</c:v>
                </c:pt>
              </c:numCache>
            </c:numRef>
          </c:val>
          <c:smooth val="0"/>
          <c:extLst>
            <c:ext xmlns:c16="http://schemas.microsoft.com/office/drawing/2014/chart" uri="{C3380CC4-5D6E-409C-BE32-E72D297353CC}">
              <c16:uniqueId val="{0000000F-BFBD-4F6A-A761-BF09D319A850}"/>
            </c:ext>
          </c:extLst>
        </c:ser>
        <c:ser>
          <c:idx val="8"/>
          <c:order val="8"/>
          <c:tx>
            <c:strRef>
              <c:f>Report!$G$44:$J$44</c:f>
              <c:strCache>
                <c:ptCount val="4"/>
                <c:pt idx="0">
                  <c:v>0</c:v>
                </c:pt>
                <c:pt idx="1">
                  <c:v>0</c:v>
                </c:pt>
                <c:pt idx="2">
                  <c:v>0</c:v>
                </c:pt>
                <c:pt idx="3">
                  <c:v>0</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val>
            <c:numRef>
              <c:f>Report!$K$44:$O$44</c:f>
              <c:numCache>
                <c:formatCode>General</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11-BFBD-4F6A-A761-BF09D319A850}"/>
            </c:ext>
          </c:extLst>
        </c:ser>
        <c:ser>
          <c:idx val="9"/>
          <c:order val="9"/>
          <c:tx>
            <c:strRef>
              <c:f>Report!$G$45:$J$45</c:f>
              <c:strCache>
                <c:ptCount val="4"/>
                <c:pt idx="0">
                  <c:v>0</c:v>
                </c:pt>
                <c:pt idx="1">
                  <c:v>0</c:v>
                </c:pt>
                <c:pt idx="2">
                  <c:v>0</c:v>
                </c:pt>
                <c:pt idx="3">
                  <c:v>0</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val>
            <c:numRef>
              <c:f>Report!$K$45:$O$45</c:f>
              <c:numCache>
                <c:formatCode>General</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13-BFBD-4F6A-A761-BF09D319A850}"/>
            </c:ext>
          </c:extLst>
        </c:ser>
        <c:ser>
          <c:idx val="10"/>
          <c:order val="10"/>
          <c:tx>
            <c:strRef>
              <c:f>Report!$G$46:$J$46</c:f>
              <c:strCache>
                <c:ptCount val="4"/>
                <c:pt idx="0">
                  <c:v>0</c:v>
                </c:pt>
                <c:pt idx="1">
                  <c:v>0</c:v>
                </c:pt>
                <c:pt idx="2">
                  <c:v>0</c:v>
                </c:pt>
                <c:pt idx="3">
                  <c:v>0</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val>
            <c:numRef>
              <c:f>Report!$K$46:$O$46</c:f>
              <c:numCache>
                <c:formatCode>General</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15-BFBD-4F6A-A761-BF09D319A850}"/>
            </c:ext>
          </c:extLst>
        </c:ser>
        <c:dLbls>
          <c:showLegendKey val="0"/>
          <c:showVal val="0"/>
          <c:showCatName val="0"/>
          <c:showSerName val="0"/>
          <c:showPercent val="0"/>
          <c:showBubbleSize val="0"/>
        </c:dLbls>
        <c:marker val="1"/>
        <c:smooth val="0"/>
        <c:axId val="1412299784"/>
        <c:axId val="955644935"/>
      </c:lineChart>
      <c:catAx>
        <c:axId val="1412299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Marcos de medição (sprints)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644935"/>
        <c:crosses val="autoZero"/>
        <c:auto val="1"/>
        <c:lblAlgn val="ctr"/>
        <c:lblOffset val="100"/>
        <c:noMultiLvlLbl val="0"/>
      </c:catAx>
      <c:valAx>
        <c:axId val="955644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299784"/>
        <c:crosses val="autoZero"/>
        <c:crossBetween val="between"/>
        <c:majorUnit val="10"/>
      </c:valAx>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r>
              <a:rPr lang="en-US"/>
              <a:t>STOTYPOINTS MEDIOS (PROJETO) NA RELAÇÃO POR PERFIL MENSURADO</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ED7D31"/>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D2-4EB4-BFE1-868F46507F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D2-4EB4-BFE1-868F46507F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0D2-4EB4-BFE1-868F46507F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0D2-4EB4-BFE1-868F46507F3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0D2-4EB4-BFE1-868F46507F3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0D2-4EB4-BFE1-868F46507F3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0D2-4EB4-BFE1-868F46507F3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0D2-4EB4-BFE1-868F46507F3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0D2-4EB4-BFE1-868F46507F3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0D2-4EB4-BFE1-868F46507F3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0D2-4EB4-BFE1-868F46507F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Report!G36:G46</c:f>
              <c:strCache>
                <c:ptCount val="11"/>
                <c:pt idx="0">
                  <c:v>PO (DOCS, LINKS, LEIS, ETC.)</c:v>
                </c:pt>
                <c:pt idx="1">
                  <c:v>REQUISITOS</c:v>
                </c:pt>
                <c:pt idx="2">
                  <c:v>UX/UI  (DESKTOP)</c:v>
                </c:pt>
                <c:pt idx="3">
                  <c:v>UX/UI  (MOBILE)</c:v>
                </c:pt>
                <c:pt idx="4">
                  <c:v>BENCHMARK COMPONENTES - DEV</c:v>
                </c:pt>
                <c:pt idx="5">
                  <c:v>CONSTRUCAO COMPONENTES - DEV</c:v>
                </c:pt>
                <c:pt idx="6">
                  <c:v>TESTES- DEV</c:v>
                </c:pt>
                <c:pt idx="7">
                  <c:v>REGISTRO e PUBLICAÇÃO (Storybook) - DEV</c:v>
                </c:pt>
                <c:pt idx="8">
                  <c:v>0</c:v>
                </c:pt>
                <c:pt idx="9">
                  <c:v>0</c:v>
                </c:pt>
                <c:pt idx="10">
                  <c:v>0</c:v>
                </c:pt>
              </c:strCache>
            </c:strRef>
          </c:cat>
          <c:val>
            <c:numRef>
              <c:f>Report!$D$36:$D$46</c:f>
              <c:numCache>
                <c:formatCode>General</c:formatCode>
                <c:ptCount val="11"/>
                <c:pt idx="0">
                  <c:v>19.2</c:v>
                </c:pt>
                <c:pt idx="1">
                  <c:v>34.200000000000003</c:v>
                </c:pt>
                <c:pt idx="2">
                  <c:v>18.399999999999999</c:v>
                </c:pt>
                <c:pt idx="3">
                  <c:v>18.399999999999999</c:v>
                </c:pt>
                <c:pt idx="4">
                  <c:v>17.600000000000001</c:v>
                </c:pt>
                <c:pt idx="5">
                  <c:v>23.6</c:v>
                </c:pt>
                <c:pt idx="6">
                  <c:v>17.600000000000001</c:v>
                </c:pt>
                <c:pt idx="7">
                  <c:v>22</c:v>
                </c:pt>
                <c:pt idx="8">
                  <c:v>0</c:v>
                </c:pt>
                <c:pt idx="9">
                  <c:v>0</c:v>
                </c:pt>
                <c:pt idx="10">
                  <c:v>0</c:v>
                </c:pt>
              </c:numCache>
            </c:numRef>
          </c:val>
          <c:extLst>
            <c:ext xmlns:c16="http://schemas.microsoft.com/office/drawing/2014/chart" uri="{C3380CC4-5D6E-409C-BE32-E72D297353CC}">
              <c16:uniqueId val="{00000027-638A-453D-918F-90C9AD411ED1}"/>
            </c:ext>
          </c:extLst>
        </c:ser>
        <c:dLbls>
          <c:showLegendKey val="0"/>
          <c:showVal val="0"/>
          <c:showCatName val="0"/>
          <c:showSerName val="0"/>
          <c:showPercent val="0"/>
          <c:showBubbleSize val="0"/>
          <c:showLeaderLines val="1"/>
        </c:dLbls>
        <c:firstSliceAng val="0"/>
        <c:holeSize val="37"/>
      </c:doughnutChart>
      <c:spPr>
        <a:noFill/>
        <a:ln>
          <a:noFill/>
        </a:ln>
        <a:effectLst/>
      </c:spPr>
    </c:plotArea>
    <c:legend>
      <c:legendPos val="r"/>
      <c:layout>
        <c:manualLayout>
          <c:xMode val="edge"/>
          <c:yMode val="edge"/>
          <c:x val="0.63118029275490084"/>
          <c:y val="0.22115992060640471"/>
          <c:w val="0.34123847167325427"/>
          <c:h val="0.59071311458818287"/>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C091505E-F5AD-4368-812C-3223FEC4F4F0}">
          <cx:tx>
            <cx:txData>
              <cx:f>_xlchart.v1.1</cx:f>
              <cx:v>Quantidade</cx:v>
            </cx:txData>
          </cx:tx>
          <cx:dataLabels>
            <cx:numFmt formatCode="Geral" sourceLinked="0"/>
            <cx:txPr>
              <a:bodyPr vertOverflow="overflow" horzOverflow="overflow" wrap="square" lIns="0" tIns="0" rIns="0" bIns="0"/>
              <a:lstStyle/>
              <a:p>
                <a:pPr algn="ctr" rtl="0">
                  <a:defRPr sz="900" b="1" i="0">
                    <a:solidFill>
                      <a:srgbClr val="FFFFFF"/>
                    </a:solidFill>
                    <a:latin typeface="Calibri" panose="020F0502020204030204" pitchFamily="34" charset="0"/>
                    <a:ea typeface="Calibri" panose="020F0502020204030204" pitchFamily="34" charset="0"/>
                    <a:cs typeface="Calibri" panose="020F0502020204030204" pitchFamily="34" charset="0"/>
                  </a:defRPr>
                </a:pPr>
                <a:endParaRPr b="1">
                  <a:solidFill>
                    <a:srgbClr val="FFFFFF"/>
                  </a:solidFill>
                </a:endParaRPr>
              </a:p>
            </cx:txPr>
            <cx:visibility seriesName="0" categoryName="0" value="1"/>
          </cx:dataLabels>
          <cx:dataId val="0"/>
          <cx:layoutPr>
            <cx:parentLabelLayout val="overlapping"/>
          </cx:layoutPr>
        </cx:series>
      </cx:plotAreaRegion>
    </cx:plotArea>
    <cx:legend pos="t"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TRANSVERSALIDADE DOS INTEGRANTES DA SQUAD NA SPRINT</cx:v>
        </cx:txData>
      </cx:tx>
      <cx:txPr>
        <a:bodyPr vertOverflow="overflow" horzOverflow="overflow" wrap="square" lIns="0" tIns="0" rIns="0" bIns="0"/>
        <a:lstStyle/>
        <a:p>
          <a:pPr algn="ctr" rtl="0">
            <a:defRPr sz="1200" b="0" i="0">
              <a:solidFill>
                <a:srgbClr val="ED7D31"/>
              </a:solidFill>
              <a:latin typeface="Calibri" panose="020F0502020204030204" pitchFamily="34" charset="0"/>
              <a:ea typeface="Calibri" panose="020F0502020204030204" pitchFamily="34" charset="0"/>
              <a:cs typeface="Calibri" panose="020F0502020204030204" pitchFamily="34" charset="0"/>
            </a:defRPr>
          </a:pPr>
          <a:r>
            <a:rPr sz="1200">
              <a:solidFill>
                <a:srgbClr val="ED7D31"/>
              </a:solidFill>
            </a:rPr>
            <a:t>TRANSVERSALIDADE DOS INTEGRANTES DA SQUAD NA SPRINT</a:t>
          </a:r>
        </a:p>
      </cx:txPr>
    </cx:title>
    <cx:plotArea>
      <cx:plotAreaRegion>
        <cx:series layoutId="sunburst" uniqueId="{00000002-CE86-488F-B4D0-4AF5BB85E5A0}">
          <cx:tx>
            <cx:txData>
              <cx:f>_xlchart.v1.4</cx:f>
              <cx:v>coluna</cx:v>
            </cx:txData>
          </cx:tx>
          <cx:spPr>
            <a:solidFill>
              <a:srgbClr val="FCE4D6"/>
            </a:solidFill>
          </cx:spPr>
          <cx:dataLabels>
            <cx:txPr>
              <a:bodyPr vertOverflow="overflow" horzOverflow="overflow" wrap="square" lIns="0" tIns="0" rIns="0" bIns="0"/>
              <a:lstStyle/>
              <a:p>
                <a:pPr algn="ctr" rtl="0">
                  <a:defRPr sz="800" b="0" i="0">
                    <a:solidFill>
                      <a:srgbClr val="FFFFFF"/>
                    </a:solidFill>
                    <a:latin typeface="Calibri" panose="020F0502020204030204" pitchFamily="34" charset="0"/>
                    <a:ea typeface="Calibri" panose="020F0502020204030204" pitchFamily="34" charset="0"/>
                    <a:cs typeface="Calibri" panose="020F0502020204030204" pitchFamily="34" charset="0"/>
                  </a:defRPr>
                </a:pPr>
                <a:endParaRPr sz="800"/>
              </a:p>
            </cx:txPr>
            <cx:visibility seriesName="0" categoryName="1" value="0"/>
          </cx:dataLabels>
          <cx:dataId val="0"/>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omments/comment1.xml><?xml version="1.0" encoding="utf-8"?>
<comments xmlns="http://schemas.openxmlformats.org/spreadsheetml/2006/main">
  <authors>
    <author>tc={D5B08B08-F312-475F-BBF6-49C3687752E1}</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Esta tabela é a tabela padrão utilizada pelas Plannings do Projeto
Dependendo das características do projeto, os itens podem ser alterados, mas devem ser mantidos e seguidos pelas tabelas de planejamento das sprints do projeto.
- à direita, inserir as referencias de cada sprint do projeto (preferencialmente com data)
- abaixo, manter estes critérios elencados para o planejamento da sprint (pode alterar o critério sugerido neste padrão, mas ele precisa ser o mesmo para todas as prints do projeto)
- informar apenas números nas células "miolo" do cruzamento. Para informações inexistentes de mensuração na plnannig, mantenha vazio, ou com o numero zero, ou com a descrição "N/A"
- os números do miolo correspondem ao somatório de storypoints por criterio (em amarelo) para aquela sprint</t>
      </text>
    </comment>
  </commentList>
</comments>
</file>

<file path=xl/comments/comment2.xml><?xml version="1.0" encoding="utf-8"?>
<comments xmlns="http://schemas.openxmlformats.org/spreadsheetml/2006/main">
  <authors>
    <author>tc={EC44053E-8809-4225-8978-EDE6B96A5D86}</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Esta tabela é a tabela padrão utilizada para a Planning da Sprint.
Dependendo das características do projeto, os itens podem ser alterados, mas devem ser mantidos durante todos os planejamentos de sprints do projeto.
- à direita, inserir os numeros e nomes das HUs da sprint
- abaixo, manter estes critérios elencados para o planejamento da sprint (pode alterar o critério sugerido neste padrão, mas ele precisa ser o mesmo para todas as prints do projeto)
- informar apenas números nas células "miolo" do cruzamento. Para informações inexistentes de mensuração na plnannig, mantenha vazio, ou com o numero zero, ou com a descrição "N/A"</t>
      </text>
    </comment>
  </commentList>
</comments>
</file>

<file path=xl/comments/comment3.xml><?xml version="1.0" encoding="utf-8"?>
<comments xmlns="http://schemas.openxmlformats.org/spreadsheetml/2006/main">
  <authors>
    <author>tc={68224DC0-D632-4007-AAD1-A03186F83D77}</author>
    <author>tc={8D008D9E-E21D-44BC-A27E-1585729F6D0C}</author>
  </authors>
  <commentList>
    <comment ref="A6" authorId="0" shapeId="0">
      <text>
        <t>[Threaded comment]
Your version of Excel allows you to read this threaded comment; however, any edits to it will get removed if the file is opened in a newer version of Excel. Learn more: https://go.microsoft.com/fwlink/?linkid=870924
Comment:
    Informar o nome do arquivo do Planner, ou o nome do arquivo gerado apos o download do planner</t>
      </text>
    </comment>
    <comment ref="A7" authorId="1" shapeId="0">
      <text>
        <t>[Threaded comment]
Your version of Excel allows you to read this threaded comment; however, any edits to it will get removed if the file is opened in a newer version of Excel. Learn more: https://go.microsoft.com/fwlink/?linkid=870924
Comment:
    Informar a data do processo de geração do arquivo (download) do Planner, para controle pessoal do GP</t>
      </text>
    </comment>
  </commentList>
</comments>
</file>

<file path=xl/comments/comment4.xml><?xml version="1.0" encoding="utf-8"?>
<comments xmlns="http://schemas.openxmlformats.org/spreadsheetml/2006/main">
  <authors>
    <author>tc={47DCCA47-3328-48C3-A3E1-88D413A7F729}</author>
    <author>tc={C304F33E-7459-4F4C-9B1E-508158006734}</author>
    <author>tc={F46390B4-41A1-441D-8A14-6515B33AFD59}</author>
  </authors>
  <commentList>
    <comment ref="B1" authorId="0" shapeId="0">
      <text>
        <t xml:space="preserve">[Threaded comment]
Your version of Excel allows you to read this threaded comment; however, any edits to it will get removed if the file is opened in a newer version of Excel. Learn more: https://go.microsoft.com/fwlink/?linkid=870924
Comment:
    Lista dos contratos que se entende participarem do projeto. 
A lista é dinâmica e pode inserir ou remover contratos. 
É preciso atentar para o impacto no gráfico.
À esquerda coloquei um contador que traz o número de vezes que é repetido o Empregador na tabela abaixo, e calcula o percentual dentro do universo de contratos </t>
      </text>
    </comment>
    <comment ref="A7" authorId="1" shapeId="0">
      <text>
        <t>[Threaded comment]
Your version of Excel allows you to read this threaded comment; however, any edits to it will get removed if the file is opened in a newer version of Excel. Learn more: https://go.microsoft.com/fwlink/?linkid=870924
Comment:
    - utilizar titular/reserva apenas para identificar o contexto.
- titular é quando formalmente faz parte da squad ou projeto
- reserva é quando a pessoa entrou apenas para cobrir um papel na squad por tempo determinado (ferias, etc.) na sprint</t>
      </text>
    </comment>
    <comment ref="D7" authorId="2" shapeId="0">
      <text>
        <t>[Threaded comment]
Your version of Excel allows you to read this threaded comment; however, any edits to it will get removed if the file is opened in a newer version of Excel. Learn more: https://go.microsoft.com/fwlink/?linkid=870924
Comment:
    Entendendo qual a fatia de tempo do profissional, de disponibilidade para atuação direta neste projeto, dentro do horario comercial.
Pode ser calculado com base na informação direta do profissional ou no entendimento da transversalidade, sempre como foco na sprint</t>
      </text>
    </comment>
  </commentList>
</comments>
</file>

<file path=xl/comments/comment5.xml><?xml version="1.0" encoding="utf-8"?>
<comments xmlns="http://schemas.openxmlformats.org/spreadsheetml/2006/main">
  <authors>
    <author>tc={9AA831AE-5EA0-4E83-B46D-A6E62DA2471C}</author>
    <author>tc={0A88E563-5723-4DF6-A568-49D123447CB1}</author>
    <author>tc={A130ADB6-6CF5-4E08-9E6C-3A2E17A1F6C8}</author>
    <author>tc={F8FA5835-3A18-4CB6-A2FF-EA35599D1FEA}</author>
    <author>tc={BC3AC6D4-8906-48F9-B092-2812CC7C8D43}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 uma palavra para identificar o nome do colaborador, caso contrario nao aparecerá no gráfico de explosao solar
- o registro de atuações diversas (mais de um papel ou mais de uma squad) leva a mais de um registro (linha) para o mesmo colaborador</t>
      </text>
    </comment>
    <comment ref="B1" authorId="1" shapeId="0">
      <text>
        <t>[Threaded comment]
Your version of Excel allows you to read this threaded comment; however, any edits to it will get removed if the file is opened in a newer version of Excel. Learn more: https://go.microsoft.com/fwlink/?linkid=870924
Comment:
    - papel do profssional na squad.
- utilizar descrição curta e sucinta, uma palavra apenas é o ideal (por motivos de composicao visual do grafico)</t>
      </text>
    </comment>
    <comment ref="C1" authorId="2" shapeId="0">
      <text>
        <t>[Threaded comment]
Your version of Excel allows you to read this threaded comment; however, any edits to it will get removed if the file is opened in a newer version of Excel. Learn more: https://go.microsoft.com/fwlink/?linkid=870924
Comment:
    - utilizar descrição curta e sucinta, se possivel uma palavra apenas é o ideal (por motivos de composicao visual do grafico)</t>
      </text>
    </comment>
    <comment ref="D1" authorId="3" shapeId="0">
      <text>
        <t>[Threaded comment]
Your version of Excel allows you to read this threaded comment; however, any edits to it will get removed if the file is opened in a newer version of Excel. Learn more: https://go.microsoft.com/fwlink/?linkid=870924
Comment:
    - utilizado para justificar registros (linhas) diferentes para um mesmo colaborador em virtude de ter desempenhado diferentes papeis e/ou em diferentes squads (projetos), ou ainda em periodos de ausencia (ferias, etc.).
- cada linha/registro refere-se a uma linha temporal diferente</t>
      </text>
    </comment>
    <comment ref="E1" authorId="4" shapeId="0">
      <text>
        <t>[Threaded comment]
Your version of Excel allows you to read this threaded comment; however, any edits to it will get removed if the file is opened in a newer version of Excel. Learn more: https://go.microsoft.com/fwlink/?linkid=870924
Comment:
    - manter o valor 1 para todos os registros (linhas)</t>
      </text>
    </comment>
  </commentList>
</comments>
</file>

<file path=xl/comments/comment6.xml><?xml version="1.0" encoding="utf-8"?>
<comments xmlns="http://schemas.openxmlformats.org/spreadsheetml/2006/main">
  <authors>
    <author>tc={EDD7E2A7-4252-488A-85A7-F7A32DE2F5DB}</author>
    <author>tc={25DDED41-3237-472E-88D4-06A60D261873}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Informar o marco temporal. Sugestão iniciar por um valor que referencie a data do marco.</t>
      </text>
    </comment>
    <comment ref="B1" authorId="1" shapeId="0">
      <text>
        <t>[Threaded comment]
Your version of Excel allows you to read this threaded comment; however, any edits to it will get removed if the file is opened in a newer version of Excel. Learn more: https://go.microsoft.com/fwlink/?linkid=870924
Comment:
    a Posição indica a posição em que o texto aparecerá no gráfico do roadmap. 
Valores inteiros positivos aparecem acima da linha do tempo, enquanto valores inteiros negativos aparecem abaixo da linha do tempo. 
Quanto maior o valor, mais distante da linha do tempo</t>
      </text>
    </comment>
  </commentList>
</comments>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1.xml"/><Relationship Id="rId18" Type="http://schemas.openxmlformats.org/officeDocument/2006/relationships/chart" Target="../charts/chart16.xml"/><Relationship Id="rId26" Type="http://schemas.openxmlformats.org/officeDocument/2006/relationships/chart" Target="../charts/chart24.xml"/><Relationship Id="rId3" Type="http://schemas.openxmlformats.org/officeDocument/2006/relationships/chart" Target="../charts/chart3.xml"/><Relationship Id="rId21" Type="http://schemas.openxmlformats.org/officeDocument/2006/relationships/chart" Target="../charts/chart19.xml"/><Relationship Id="rId7" Type="http://schemas.openxmlformats.org/officeDocument/2006/relationships/chart" Target="../charts/chart6.xml"/><Relationship Id="rId12" Type="http://schemas.openxmlformats.org/officeDocument/2006/relationships/chart" Target="../charts/chart10.xml"/><Relationship Id="rId17" Type="http://schemas.openxmlformats.org/officeDocument/2006/relationships/chart" Target="../charts/chart15.xml"/><Relationship Id="rId25" Type="http://schemas.openxmlformats.org/officeDocument/2006/relationships/chart" Target="../charts/chart23.xml"/><Relationship Id="rId2" Type="http://schemas.openxmlformats.org/officeDocument/2006/relationships/chart" Target="../charts/chart2.xml"/><Relationship Id="rId16" Type="http://schemas.openxmlformats.org/officeDocument/2006/relationships/chart" Target="../charts/chart14.xml"/><Relationship Id="rId20" Type="http://schemas.openxmlformats.org/officeDocument/2006/relationships/chart" Target="../charts/chart18.xml"/><Relationship Id="rId29" Type="http://schemas.openxmlformats.org/officeDocument/2006/relationships/chart" Target="../charts/chart27.xml"/><Relationship Id="rId1" Type="http://schemas.openxmlformats.org/officeDocument/2006/relationships/chart" Target="../charts/chart1.xml"/><Relationship Id="rId6" Type="http://schemas.microsoft.com/office/2014/relationships/chartEx" Target="../charts/chartEx1.xml"/><Relationship Id="rId11" Type="http://schemas.microsoft.com/office/2014/relationships/chartEx" Target="../charts/chartEx2.xml"/><Relationship Id="rId24" Type="http://schemas.openxmlformats.org/officeDocument/2006/relationships/chart" Target="../charts/chart22.xml"/><Relationship Id="rId5" Type="http://schemas.openxmlformats.org/officeDocument/2006/relationships/chart" Target="../charts/chart5.xml"/><Relationship Id="rId15" Type="http://schemas.openxmlformats.org/officeDocument/2006/relationships/chart" Target="../charts/chart13.xml"/><Relationship Id="rId23" Type="http://schemas.openxmlformats.org/officeDocument/2006/relationships/chart" Target="../charts/chart21.xml"/><Relationship Id="rId28" Type="http://schemas.openxmlformats.org/officeDocument/2006/relationships/chart" Target="../charts/chart26.xml"/><Relationship Id="rId10" Type="http://schemas.openxmlformats.org/officeDocument/2006/relationships/chart" Target="../charts/chart9.xml"/><Relationship Id="rId19" Type="http://schemas.openxmlformats.org/officeDocument/2006/relationships/chart" Target="../charts/chart17.xml"/><Relationship Id="rId4" Type="http://schemas.openxmlformats.org/officeDocument/2006/relationships/chart" Target="../charts/chart4.xml"/><Relationship Id="rId9" Type="http://schemas.openxmlformats.org/officeDocument/2006/relationships/chart" Target="../charts/chart8.xml"/><Relationship Id="rId14" Type="http://schemas.openxmlformats.org/officeDocument/2006/relationships/chart" Target="../charts/chart12.xml"/><Relationship Id="rId22" Type="http://schemas.openxmlformats.org/officeDocument/2006/relationships/chart" Target="../charts/chart20.xml"/><Relationship Id="rId27"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35</xdr:col>
      <xdr:colOff>9525</xdr:colOff>
      <xdr:row>111</xdr:row>
      <xdr:rowOff>104775</xdr:rowOff>
    </xdr:from>
    <xdr:to>
      <xdr:col>47</xdr:col>
      <xdr:colOff>152400</xdr:colOff>
      <xdr:row>127</xdr:row>
      <xdr:rowOff>76200</xdr:rowOff>
    </xdr:to>
    <xdr:graphicFrame macro="">
      <xdr:nvGraphicFramePr>
        <xdr:cNvPr id="2" name="Gráfico 1">
          <a:extLst>
            <a:ext uri="{FF2B5EF4-FFF2-40B4-BE49-F238E27FC236}">
              <a16:creationId xmlns:a16="http://schemas.microsoft.com/office/drawing/2014/main" id="{5CA9BC51-75F8-4CEB-A942-8F7726BCB369}"/>
            </a:ext>
            <a:ext uri="{147F2762-F138-4A5C-976F-8EAC2B608ADB}">
              <a16:predDERef xmlns:a16="http://schemas.microsoft.com/office/drawing/2014/main" pred="{D53B49CE-DC19-104A-F0AE-9BA3BD37F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53</xdr:col>
      <xdr:colOff>66675</xdr:colOff>
      <xdr:row>34</xdr:row>
      <xdr:rowOff>66675</xdr:rowOff>
    </xdr:from>
    <xdr:to>
      <xdr:col>60</xdr:col>
      <xdr:colOff>352425</xdr:colOff>
      <xdr:row>59</xdr:row>
      <xdr:rowOff>38100</xdr:rowOff>
    </xdr:to>
    <xdr:graphicFrame macro="">
      <xdr:nvGraphicFramePr>
        <xdr:cNvPr id="3" name="Gráfico 2">
          <a:extLst>
            <a:ext uri="{FF2B5EF4-FFF2-40B4-BE49-F238E27FC236}">
              <a16:creationId xmlns:a16="http://schemas.microsoft.com/office/drawing/2014/main" id="{F27F0D06-866C-4EF2-9067-6A8D55051050}"/>
            </a:ext>
            <a:ext uri="{147F2762-F138-4A5C-976F-8EAC2B608ADB}">
              <a16:predDERef xmlns:a16="http://schemas.microsoft.com/office/drawing/2014/main" pred="{5CA9BC51-75F8-4CEB-A942-8F7726BCB3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53</xdr:col>
      <xdr:colOff>390525</xdr:colOff>
      <xdr:row>12</xdr:row>
      <xdr:rowOff>161925</xdr:rowOff>
    </xdr:from>
    <xdr:to>
      <xdr:col>60</xdr:col>
      <xdr:colOff>228600</xdr:colOff>
      <xdr:row>33</xdr:row>
      <xdr:rowOff>171450</xdr:rowOff>
    </xdr:to>
    <xdr:graphicFrame macro="">
      <xdr:nvGraphicFramePr>
        <xdr:cNvPr id="4" name="Gráfico 3">
          <a:extLst>
            <a:ext uri="{FF2B5EF4-FFF2-40B4-BE49-F238E27FC236}">
              <a16:creationId xmlns:a16="http://schemas.microsoft.com/office/drawing/2014/main" id="{3E87A604-B62B-496E-B838-E414B1A3A222}"/>
            </a:ext>
            <a:ext uri="{147F2762-F138-4A5C-976F-8EAC2B608ADB}">
              <a16:predDERef xmlns:a16="http://schemas.microsoft.com/office/drawing/2014/main" pred="{F27F0D06-866C-4EF2-9067-6A8D550510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0</xdr:colOff>
      <xdr:row>13</xdr:row>
      <xdr:rowOff>66675</xdr:rowOff>
    </xdr:from>
    <xdr:to>
      <xdr:col>47</xdr:col>
      <xdr:colOff>419100</xdr:colOff>
      <xdr:row>29</xdr:row>
      <xdr:rowOff>66675</xdr:rowOff>
    </xdr:to>
    <xdr:graphicFrame macro="">
      <xdr:nvGraphicFramePr>
        <xdr:cNvPr id="5" name="Gráfico 4">
          <a:extLst>
            <a:ext uri="{FF2B5EF4-FFF2-40B4-BE49-F238E27FC236}">
              <a16:creationId xmlns:a16="http://schemas.microsoft.com/office/drawing/2014/main" id="{D47CA692-639E-48A7-B120-E484F7DEAA25}"/>
            </a:ext>
            <a:ext uri="{147F2762-F138-4A5C-976F-8EAC2B608ADB}">
              <a16:predDERef xmlns:a16="http://schemas.microsoft.com/office/drawing/2014/main" pred="{3E87A604-B62B-496E-B838-E414B1A3A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9525</xdr:colOff>
      <xdr:row>93</xdr:row>
      <xdr:rowOff>19050</xdr:rowOff>
    </xdr:from>
    <xdr:to>
      <xdr:col>47</xdr:col>
      <xdr:colOff>114300</xdr:colOff>
      <xdr:row>111</xdr:row>
      <xdr:rowOff>28575</xdr:rowOff>
    </xdr:to>
    <xdr:graphicFrame macro="">
      <xdr:nvGraphicFramePr>
        <xdr:cNvPr id="6" name="Gráfico 5">
          <a:extLst>
            <a:ext uri="{FF2B5EF4-FFF2-40B4-BE49-F238E27FC236}">
              <a16:creationId xmlns:a16="http://schemas.microsoft.com/office/drawing/2014/main" id="{59FD29BB-6E0D-4B67-B0F6-566929D17BFE}"/>
            </a:ext>
            <a:ext uri="{147F2762-F138-4A5C-976F-8EAC2B608ADB}">
              <a16:predDERef xmlns:a16="http://schemas.microsoft.com/office/drawing/2014/main" pred="{D47CA692-639E-48A7-B120-E484F7DEAA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47</xdr:col>
      <xdr:colOff>542925</xdr:colOff>
      <xdr:row>124</xdr:row>
      <xdr:rowOff>228600</xdr:rowOff>
    </xdr:from>
    <xdr:to>
      <xdr:col>60</xdr:col>
      <xdr:colOff>28575</xdr:colOff>
      <xdr:row>127</xdr:row>
      <xdr:rowOff>171450</xdr:rowOff>
    </xdr:to>
    <mc:AlternateContent xmlns:mc="http://schemas.openxmlformats.org/markup-compatibility/2006">
      <mc:Choice xmlns:cx1="http://schemas.microsoft.com/office/drawing/2015/9/8/chartex" Requires="cx1">
        <xdr:graphicFrame macro="">
          <xdr:nvGraphicFramePr>
            <xdr:cNvPr id="7" name="Gráfico 6">
              <a:extLst>
                <a:ext uri="{FF2B5EF4-FFF2-40B4-BE49-F238E27FC236}">
                  <a16:creationId xmlns:a16="http://schemas.microsoft.com/office/drawing/2014/main" id="{C3D8EA97-F1CF-9B65-D29C-CAFFE7468465}"/>
                </a:ext>
                <a:ext uri="{147F2762-F138-4A5C-976F-8EAC2B608ADB}">
                  <a16:predDERef xmlns:a16="http://schemas.microsoft.com/office/drawing/2014/main" pred="{59FD29BB-6E0D-4B67-B0F6-566929D17BF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Este gráfico não está disponível na sua versão do Excel.
Editar esta forma ou salvar esta pasta de trabalho em um formato de arquivo diferente dividirá o gráfico permanentemente.</a:t>
              </a:r>
            </a:p>
          </xdr:txBody>
        </xdr:sp>
      </mc:Fallback>
    </mc:AlternateContent>
    <xdr:clientData/>
  </xdr:twoCellAnchor>
  <xdr:twoCellAnchor>
    <xdr:from>
      <xdr:col>43</xdr:col>
      <xdr:colOff>104775</xdr:colOff>
      <xdr:row>60</xdr:row>
      <xdr:rowOff>76200</xdr:rowOff>
    </xdr:from>
    <xdr:to>
      <xdr:col>48</xdr:col>
      <xdr:colOff>209550</xdr:colOff>
      <xdr:row>72</xdr:row>
      <xdr:rowOff>180975</xdr:rowOff>
    </xdr:to>
    <xdr:graphicFrame macro="">
      <xdr:nvGraphicFramePr>
        <xdr:cNvPr id="8" name="Gráfico 7">
          <a:extLst>
            <a:ext uri="{FF2B5EF4-FFF2-40B4-BE49-F238E27FC236}">
              <a16:creationId xmlns:a16="http://schemas.microsoft.com/office/drawing/2014/main" id="{42FC2FA0-DD36-5C23-9921-648A5E1FB69B}"/>
            </a:ext>
            <a:ext uri="{147F2762-F138-4A5C-976F-8EAC2B608ADB}">
              <a16:predDERef xmlns:a16="http://schemas.microsoft.com/office/drawing/2014/main" pred="{C3D8EA97-F1CF-9B65-D29C-CAFFE74684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47</xdr:col>
      <xdr:colOff>285750</xdr:colOff>
      <xdr:row>12</xdr:row>
      <xdr:rowOff>123825</xdr:rowOff>
    </xdr:from>
    <xdr:to>
      <xdr:col>53</xdr:col>
      <xdr:colOff>304800</xdr:colOff>
      <xdr:row>28</xdr:row>
      <xdr:rowOff>38100</xdr:rowOff>
    </xdr:to>
    <xdr:graphicFrame macro="">
      <xdr:nvGraphicFramePr>
        <xdr:cNvPr id="9" name="Gráfico 8">
          <a:extLst>
            <a:ext uri="{FF2B5EF4-FFF2-40B4-BE49-F238E27FC236}">
              <a16:creationId xmlns:a16="http://schemas.microsoft.com/office/drawing/2014/main" id="{1C6144A8-90DA-FE00-053B-324128F42492}"/>
            </a:ext>
            <a:ext uri="{147F2762-F138-4A5C-976F-8EAC2B608ADB}">
              <a16:predDERef xmlns:a16="http://schemas.microsoft.com/office/drawing/2014/main" pred="{42FC2FA0-DD36-5C23-9921-648A5E1FB6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33</xdr:col>
      <xdr:colOff>123825</xdr:colOff>
      <xdr:row>60</xdr:row>
      <xdr:rowOff>0</xdr:rowOff>
    </xdr:from>
    <xdr:to>
      <xdr:col>43</xdr:col>
      <xdr:colOff>47625</xdr:colOff>
      <xdr:row>73</xdr:row>
      <xdr:rowOff>47625</xdr:rowOff>
    </xdr:to>
    <xdr:graphicFrame macro="">
      <xdr:nvGraphicFramePr>
        <xdr:cNvPr id="13" name="Gráfico 12">
          <a:extLst>
            <a:ext uri="{FF2B5EF4-FFF2-40B4-BE49-F238E27FC236}">
              <a16:creationId xmlns:a16="http://schemas.microsoft.com/office/drawing/2014/main" id="{86D2A101-47E5-7C3C-E830-3E9B7C4D1D98}"/>
            </a:ext>
            <a:ext uri="{147F2762-F138-4A5C-976F-8EAC2B608ADB}">
              <a16:predDERef xmlns:a16="http://schemas.microsoft.com/office/drawing/2014/main" pred="{1C6144A8-90DA-FE00-053B-324128F424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161925</xdr:colOff>
      <xdr:row>10</xdr:row>
      <xdr:rowOff>28575</xdr:rowOff>
    </xdr:from>
    <xdr:to>
      <xdr:col>28</xdr:col>
      <xdr:colOff>819150</xdr:colOff>
      <xdr:row>31</xdr:row>
      <xdr:rowOff>85725</xdr:rowOff>
    </xdr:to>
    <xdr:graphicFrame macro="">
      <xdr:nvGraphicFramePr>
        <xdr:cNvPr id="12" name="Gráfico 11">
          <a:extLst>
            <a:ext uri="{FF2B5EF4-FFF2-40B4-BE49-F238E27FC236}">
              <a16:creationId xmlns:a16="http://schemas.microsoft.com/office/drawing/2014/main" id="{43577DAF-7BA6-4C1C-8391-23658BEC1708}"/>
            </a:ext>
            <a:ext uri="{147F2762-F138-4A5C-976F-8EAC2B608ADB}">
              <a16:predDERef xmlns:a16="http://schemas.microsoft.com/office/drawing/2014/main" pred="{86D2A101-47E5-7C3C-E830-3E9B7C4D1D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104775</xdr:colOff>
      <xdr:row>31</xdr:row>
      <xdr:rowOff>142875</xdr:rowOff>
    </xdr:from>
    <xdr:to>
      <xdr:col>28</xdr:col>
      <xdr:colOff>790575</xdr:colOff>
      <xdr:row>66</xdr:row>
      <xdr:rowOff>180975</xdr:rowOff>
    </xdr:to>
    <mc:AlternateContent xmlns:mc="http://schemas.openxmlformats.org/markup-compatibility/2006">
      <mc:Choice xmlns:cx1="http://schemas.microsoft.com/office/drawing/2015/9/8/chartex" Requires="cx1">
        <xdr:graphicFrame macro="">
          <xdr:nvGraphicFramePr>
            <xdr:cNvPr id="14" name="Gráfico 13">
              <a:extLst>
                <a:ext uri="{FF2B5EF4-FFF2-40B4-BE49-F238E27FC236}">
                  <a16:creationId xmlns:a16="http://schemas.microsoft.com/office/drawing/2014/main" id="{FD9448F4-3644-4F3F-F4F6-BF215D603A64}"/>
                </a:ext>
                <a:ext uri="{147F2762-F138-4A5C-976F-8EAC2B608ADB}">
                  <a16:predDERef xmlns:a16="http://schemas.microsoft.com/office/drawing/2014/main" pred="{43577DAF-7BA6-4C1C-8391-23658BEC17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Este gráfico não está disponível na sua versão do Excel.
Editar esta forma ou salvar esta pasta de trabalho em um formato de arquivo diferente dividirá o gráfico permanentemente.</a:t>
              </a:r>
            </a:p>
          </xdr:txBody>
        </xdr:sp>
      </mc:Fallback>
    </mc:AlternateContent>
    <xdr:clientData/>
  </xdr:twoCellAnchor>
  <xdr:twoCellAnchor>
    <xdr:from>
      <xdr:col>10</xdr:col>
      <xdr:colOff>428625</xdr:colOff>
      <xdr:row>84</xdr:row>
      <xdr:rowOff>76200</xdr:rowOff>
    </xdr:from>
    <xdr:to>
      <xdr:col>28</xdr:col>
      <xdr:colOff>762000</xdr:colOff>
      <xdr:row>107</xdr:row>
      <xdr:rowOff>161925</xdr:rowOff>
    </xdr:to>
    <xdr:graphicFrame macro="">
      <xdr:nvGraphicFramePr>
        <xdr:cNvPr id="16" name="Gráfico 15">
          <a:extLst>
            <a:ext uri="{FF2B5EF4-FFF2-40B4-BE49-F238E27FC236}">
              <a16:creationId xmlns:a16="http://schemas.microsoft.com/office/drawing/2014/main" id="{47B99294-2F3A-E5D5-089F-1C652359B702}"/>
            </a:ext>
            <a:ext uri="{147F2762-F138-4A5C-976F-8EAC2B608ADB}">
              <a16:predDERef xmlns:a16="http://schemas.microsoft.com/office/drawing/2014/main" pred="{FD9448F4-3644-4F3F-F4F6-BF215D603A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54</xdr:col>
      <xdr:colOff>209550</xdr:colOff>
      <xdr:row>97</xdr:row>
      <xdr:rowOff>0</xdr:rowOff>
    </xdr:from>
    <xdr:to>
      <xdr:col>60</xdr:col>
      <xdr:colOff>152400</xdr:colOff>
      <xdr:row>124</xdr:row>
      <xdr:rowOff>333375</xdr:rowOff>
    </xdr:to>
    <xdr:graphicFrame macro="">
      <xdr:nvGraphicFramePr>
        <xdr:cNvPr id="10" name="Gráfico 9">
          <a:extLst>
            <a:ext uri="{FF2B5EF4-FFF2-40B4-BE49-F238E27FC236}">
              <a16:creationId xmlns:a16="http://schemas.microsoft.com/office/drawing/2014/main" id="{52A2E340-D8D8-4D40-B3A1-886A56E4A733}"/>
            </a:ext>
            <a:ext uri="{147F2762-F138-4A5C-976F-8EAC2B608ADB}">
              <a16:predDERef xmlns:a16="http://schemas.microsoft.com/office/drawing/2014/main" pred="{47B99294-2F3A-E5D5-089F-1C652359B7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48</xdr:col>
      <xdr:colOff>28575</xdr:colOff>
      <xdr:row>104</xdr:row>
      <xdr:rowOff>133350</xdr:rowOff>
    </xdr:from>
    <xdr:to>
      <xdr:col>53</xdr:col>
      <xdr:colOff>590550</xdr:colOff>
      <xdr:row>124</xdr:row>
      <xdr:rowOff>247650</xdr:rowOff>
    </xdr:to>
    <xdr:graphicFrame macro="">
      <xdr:nvGraphicFramePr>
        <xdr:cNvPr id="15" name="Gráfico 14">
          <a:extLst>
            <a:ext uri="{FF2B5EF4-FFF2-40B4-BE49-F238E27FC236}">
              <a16:creationId xmlns:a16="http://schemas.microsoft.com/office/drawing/2014/main" id="{74CFBFA6-1488-4C28-B631-7A705B7F15ED}"/>
            </a:ext>
            <a:ext uri="{147F2762-F138-4A5C-976F-8EAC2B608ADB}">
              <a16:predDERef xmlns:a16="http://schemas.microsoft.com/office/drawing/2014/main" pred="{52A2E340-D8D8-4D40-B3A1-886A56E4A7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161925</xdr:colOff>
      <xdr:row>84</xdr:row>
      <xdr:rowOff>104775</xdr:rowOff>
    </xdr:from>
    <xdr:to>
      <xdr:col>10</xdr:col>
      <xdr:colOff>209550</xdr:colOff>
      <xdr:row>106</xdr:row>
      <xdr:rowOff>180975</xdr:rowOff>
    </xdr:to>
    <xdr:graphicFrame macro="">
      <xdr:nvGraphicFramePr>
        <xdr:cNvPr id="20" name="Gráfico 19">
          <a:extLst>
            <a:ext uri="{FF2B5EF4-FFF2-40B4-BE49-F238E27FC236}">
              <a16:creationId xmlns:a16="http://schemas.microsoft.com/office/drawing/2014/main" id="{68CAA8F4-6A8B-3E1D-D589-A3FC41E53C6E}"/>
            </a:ext>
            <a:ext uri="{147F2762-F138-4A5C-976F-8EAC2B608ADB}">
              <a16:predDERef xmlns:a16="http://schemas.microsoft.com/office/drawing/2014/main" pred="{74CFBFA6-1488-4C28-B631-7A705B7F15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47</xdr:col>
      <xdr:colOff>190500</xdr:colOff>
      <xdr:row>77</xdr:row>
      <xdr:rowOff>66675</xdr:rowOff>
    </xdr:from>
    <xdr:to>
      <xdr:col>59</xdr:col>
      <xdr:colOff>752475</xdr:colOff>
      <xdr:row>96</xdr:row>
      <xdr:rowOff>142875</xdr:rowOff>
    </xdr:to>
    <xdr:graphicFrame macro="">
      <xdr:nvGraphicFramePr>
        <xdr:cNvPr id="23" name="Gráfico 22">
          <a:extLst>
            <a:ext uri="{FF2B5EF4-FFF2-40B4-BE49-F238E27FC236}">
              <a16:creationId xmlns:a16="http://schemas.microsoft.com/office/drawing/2014/main" id="{07C59F18-AAB1-5A3C-EC18-1E77EDFE5C84}"/>
            </a:ext>
            <a:ext uri="{147F2762-F138-4A5C-976F-8EAC2B608ADB}">
              <a16:predDERef xmlns:a16="http://schemas.microsoft.com/office/drawing/2014/main" pred="{68CAA8F4-6A8B-3E1D-D589-A3FC41E53C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-1885950</xdr:colOff>
      <xdr:row>33</xdr:row>
      <xdr:rowOff>66675</xdr:rowOff>
    </xdr:from>
    <xdr:to>
      <xdr:col>0</xdr:col>
      <xdr:colOff>-1885950</xdr:colOff>
      <xdr:row>33</xdr:row>
      <xdr:rowOff>66675</xdr:rowOff>
    </xdr:to>
    <xdr:graphicFrame macro="">
      <xdr:nvGraphicFramePr>
        <xdr:cNvPr id="17" name="Gráfico 16">
          <a:extLst>
            <a:ext uri="{FF2B5EF4-FFF2-40B4-BE49-F238E27FC236}">
              <a16:creationId xmlns:a16="http://schemas.microsoft.com/office/drawing/2014/main" id="{42996327-2032-5509-D153-1803632042A7}"/>
            </a:ext>
            <a:ext uri="{147F2762-F138-4A5C-976F-8EAC2B608ADB}">
              <a16:predDERef xmlns:a16="http://schemas.microsoft.com/office/drawing/2014/main" pred="{07C59F18-AAB1-5A3C-EC18-1E77EDFE5C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25</xdr:col>
      <xdr:colOff>9525</xdr:colOff>
      <xdr:row>68</xdr:row>
      <xdr:rowOff>0</xdr:rowOff>
    </xdr:from>
    <xdr:to>
      <xdr:col>29</xdr:col>
      <xdr:colOff>19050</xdr:colOff>
      <xdr:row>82</xdr:row>
      <xdr:rowOff>76200</xdr:rowOff>
    </xdr:to>
    <xdr:graphicFrame macro="">
      <xdr:nvGraphicFramePr>
        <xdr:cNvPr id="18" name="Gráfico 17">
          <a:extLst>
            <a:ext uri="{FF2B5EF4-FFF2-40B4-BE49-F238E27FC236}">
              <a16:creationId xmlns:a16="http://schemas.microsoft.com/office/drawing/2014/main" id="{BA86D085-286E-7D5B-43D4-FBE3447D5EB6}"/>
            </a:ext>
            <a:ext uri="{147F2762-F138-4A5C-976F-8EAC2B608ADB}">
              <a16:predDERef xmlns:a16="http://schemas.microsoft.com/office/drawing/2014/main" pred="{42996327-2032-5509-D153-1803632042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171450</xdr:colOff>
      <xdr:row>67</xdr:row>
      <xdr:rowOff>114300</xdr:rowOff>
    </xdr:from>
    <xdr:to>
      <xdr:col>24</xdr:col>
      <xdr:colOff>628650</xdr:colOff>
      <xdr:row>82</xdr:row>
      <xdr:rowOff>104775</xdr:rowOff>
    </xdr:to>
    <xdr:graphicFrame macro="">
      <xdr:nvGraphicFramePr>
        <xdr:cNvPr id="19" name="Gráfico 18">
          <a:extLst>
            <a:ext uri="{FF2B5EF4-FFF2-40B4-BE49-F238E27FC236}">
              <a16:creationId xmlns:a16="http://schemas.microsoft.com/office/drawing/2014/main" id="{970924BA-4993-0FFA-E747-A37818507DE5}"/>
            </a:ext>
            <a:ext uri="{147F2762-F138-4A5C-976F-8EAC2B608ADB}">
              <a16:predDERef xmlns:a16="http://schemas.microsoft.com/office/drawing/2014/main" pred="{BA86D085-286E-7D5B-43D4-FBE3447D5E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35</xdr:col>
      <xdr:colOff>9525</xdr:colOff>
      <xdr:row>73</xdr:row>
      <xdr:rowOff>180975</xdr:rowOff>
    </xdr:from>
    <xdr:to>
      <xdr:col>47</xdr:col>
      <xdr:colOff>104775</xdr:colOff>
      <xdr:row>92</xdr:row>
      <xdr:rowOff>171450</xdr:rowOff>
    </xdr:to>
    <xdr:graphicFrame macro="">
      <xdr:nvGraphicFramePr>
        <xdr:cNvPr id="21" name="Gráfico 20">
          <a:extLst>
            <a:ext uri="{FF2B5EF4-FFF2-40B4-BE49-F238E27FC236}">
              <a16:creationId xmlns:a16="http://schemas.microsoft.com/office/drawing/2014/main" id="{EAD5D9A8-D8CD-4757-90E3-0F278403D9D1}"/>
            </a:ext>
            <a:ext uri="{147F2762-F138-4A5C-976F-8EAC2B608ADB}">
              <a16:predDERef xmlns:a16="http://schemas.microsoft.com/office/drawing/2014/main" pred="{970924BA-4993-0FFA-E747-A37818507D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48</xdr:col>
      <xdr:colOff>47625</xdr:colOff>
      <xdr:row>60</xdr:row>
      <xdr:rowOff>9525</xdr:rowOff>
    </xdr:from>
    <xdr:to>
      <xdr:col>60</xdr:col>
      <xdr:colOff>123825</xdr:colOff>
      <xdr:row>76</xdr:row>
      <xdr:rowOff>114300</xdr:rowOff>
    </xdr:to>
    <xdr:graphicFrame macro="">
      <xdr:nvGraphicFramePr>
        <xdr:cNvPr id="25" name="Gráfico 24">
          <a:extLst>
            <a:ext uri="{FF2B5EF4-FFF2-40B4-BE49-F238E27FC236}">
              <a16:creationId xmlns:a16="http://schemas.microsoft.com/office/drawing/2014/main" id="{34A391D6-1C78-E91E-C75D-809E14D5F986}"/>
            </a:ext>
            <a:ext uri="{147F2762-F138-4A5C-976F-8EAC2B608ADB}">
              <a16:predDERef xmlns:a16="http://schemas.microsoft.com/office/drawing/2014/main" pred="{EAD5D9A8-D8CD-4757-90E3-0F278403D9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34</xdr:col>
      <xdr:colOff>28575</xdr:colOff>
      <xdr:row>41</xdr:row>
      <xdr:rowOff>142875</xdr:rowOff>
    </xdr:from>
    <xdr:to>
      <xdr:col>51</xdr:col>
      <xdr:colOff>552450</xdr:colOff>
      <xdr:row>59</xdr:row>
      <xdr:rowOff>66675</xdr:rowOff>
    </xdr:to>
    <xdr:graphicFrame macro="">
      <xdr:nvGraphicFramePr>
        <xdr:cNvPr id="26" name="Gráfico 25">
          <a:extLst>
            <a:ext uri="{FF2B5EF4-FFF2-40B4-BE49-F238E27FC236}">
              <a16:creationId xmlns:a16="http://schemas.microsoft.com/office/drawing/2014/main" id="{BE600F97-0130-1888-77E1-4A2C6384F380}"/>
            </a:ext>
            <a:ext uri="{147F2762-F138-4A5C-976F-8EAC2B608ADB}">
              <a16:predDERef xmlns:a16="http://schemas.microsoft.com/office/drawing/2014/main" pred="{34A391D6-1C78-E91E-C75D-809E14D5F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46</xdr:col>
      <xdr:colOff>114300</xdr:colOff>
      <xdr:row>30</xdr:row>
      <xdr:rowOff>9525</xdr:rowOff>
    </xdr:from>
    <xdr:to>
      <xdr:col>53</xdr:col>
      <xdr:colOff>209550</xdr:colOff>
      <xdr:row>40</xdr:row>
      <xdr:rowOff>95250</xdr:rowOff>
    </xdr:to>
    <xdr:graphicFrame macro="">
      <xdr:nvGraphicFramePr>
        <xdr:cNvPr id="27" name="Gráfico 26">
          <a:extLst>
            <a:ext uri="{FF2B5EF4-FFF2-40B4-BE49-F238E27FC236}">
              <a16:creationId xmlns:a16="http://schemas.microsoft.com/office/drawing/2014/main" id="{EFF4E7CF-6009-3D16-0692-44B90E7C9B0D}"/>
            </a:ext>
            <a:ext uri="{147F2762-F138-4A5C-976F-8EAC2B608ADB}">
              <a16:predDERef xmlns:a16="http://schemas.microsoft.com/office/drawing/2014/main" pred="{BE600F97-0130-1888-77E1-4A2C6384F3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33</xdr:col>
      <xdr:colOff>228600</xdr:colOff>
      <xdr:row>29</xdr:row>
      <xdr:rowOff>180975</xdr:rowOff>
    </xdr:from>
    <xdr:to>
      <xdr:col>46</xdr:col>
      <xdr:colOff>76200</xdr:colOff>
      <xdr:row>40</xdr:row>
      <xdr:rowOff>19050</xdr:rowOff>
    </xdr:to>
    <xdr:graphicFrame macro="">
      <xdr:nvGraphicFramePr>
        <xdr:cNvPr id="11" name="Gráfico 10">
          <a:extLst>
            <a:ext uri="{FF2B5EF4-FFF2-40B4-BE49-F238E27FC236}">
              <a16:creationId xmlns:a16="http://schemas.microsoft.com/office/drawing/2014/main" id="{362EFB43-279B-73F2-E0CE-8C81A1760D20}"/>
            </a:ext>
            <a:ext uri="{147F2762-F138-4A5C-976F-8EAC2B608ADB}">
              <a16:predDERef xmlns:a16="http://schemas.microsoft.com/office/drawing/2014/main" pred="{EFF4E7CF-6009-3D16-0692-44B90E7C9B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34</xdr:col>
      <xdr:colOff>142875</xdr:colOff>
      <xdr:row>73</xdr:row>
      <xdr:rowOff>19050</xdr:rowOff>
    </xdr:from>
    <xdr:to>
      <xdr:col>35</xdr:col>
      <xdr:colOff>114300</xdr:colOff>
      <xdr:row>92</xdr:row>
      <xdr:rowOff>38100</xdr:rowOff>
    </xdr:to>
    <xdr:graphicFrame macro="">
      <xdr:nvGraphicFramePr>
        <xdr:cNvPr id="28" name="Gráfico 27">
          <a:extLst>
            <a:ext uri="{FF2B5EF4-FFF2-40B4-BE49-F238E27FC236}">
              <a16:creationId xmlns:a16="http://schemas.microsoft.com/office/drawing/2014/main" id="{5CCF902F-C028-7901-C0BA-E2A490AD40CA}"/>
            </a:ext>
            <a:ext uri="{147F2762-F138-4A5C-976F-8EAC2B608ADB}">
              <a16:predDERef xmlns:a16="http://schemas.microsoft.com/office/drawing/2014/main" pred="{362EFB43-279B-73F2-E0CE-8C81A1760D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34</xdr:col>
      <xdr:colOff>152400</xdr:colOff>
      <xdr:row>92</xdr:row>
      <xdr:rowOff>123825</xdr:rowOff>
    </xdr:from>
    <xdr:to>
      <xdr:col>35</xdr:col>
      <xdr:colOff>123825</xdr:colOff>
      <xdr:row>110</xdr:row>
      <xdr:rowOff>104775</xdr:rowOff>
    </xdr:to>
    <xdr:graphicFrame macro="">
      <xdr:nvGraphicFramePr>
        <xdr:cNvPr id="29" name="Gráfico 28">
          <a:extLst>
            <a:ext uri="{FF2B5EF4-FFF2-40B4-BE49-F238E27FC236}">
              <a16:creationId xmlns:a16="http://schemas.microsoft.com/office/drawing/2014/main" id="{DFA7CFFA-1C77-4BCB-960F-774EE3482461}"/>
            </a:ext>
            <a:ext uri="{147F2762-F138-4A5C-976F-8EAC2B608ADB}">
              <a16:predDERef xmlns:a16="http://schemas.microsoft.com/office/drawing/2014/main" pred="{5CCF902F-C028-7901-C0BA-E2A490AD40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34</xdr:col>
      <xdr:colOff>161925</xdr:colOff>
      <xdr:row>108</xdr:row>
      <xdr:rowOff>180975</xdr:rowOff>
    </xdr:from>
    <xdr:to>
      <xdr:col>35</xdr:col>
      <xdr:colOff>133350</xdr:colOff>
      <xdr:row>127</xdr:row>
      <xdr:rowOff>9525</xdr:rowOff>
    </xdr:to>
    <xdr:graphicFrame macro="">
      <xdr:nvGraphicFramePr>
        <xdr:cNvPr id="30" name="Gráfico 29">
          <a:extLst>
            <a:ext uri="{FF2B5EF4-FFF2-40B4-BE49-F238E27FC236}">
              <a16:creationId xmlns:a16="http://schemas.microsoft.com/office/drawing/2014/main" id="{5BBDD38A-7883-402D-9BCB-23CF179B6B42}"/>
            </a:ext>
            <a:ext uri="{147F2762-F138-4A5C-976F-8EAC2B608ADB}">
              <a16:predDERef xmlns:a16="http://schemas.microsoft.com/office/drawing/2014/main" pred="{DFA7CFFA-1C77-4BCB-960F-774EE3482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3</xdr:col>
      <xdr:colOff>200025</xdr:colOff>
      <xdr:row>109</xdr:row>
      <xdr:rowOff>114300</xdr:rowOff>
    </xdr:from>
    <xdr:to>
      <xdr:col>21</xdr:col>
      <xdr:colOff>447675</xdr:colOff>
      <xdr:row>127</xdr:row>
      <xdr:rowOff>57150</xdr:rowOff>
    </xdr:to>
    <xdr:graphicFrame macro="">
      <xdr:nvGraphicFramePr>
        <xdr:cNvPr id="32" name="Gráfico 31">
          <a:extLst>
            <a:ext uri="{FF2B5EF4-FFF2-40B4-BE49-F238E27FC236}">
              <a16:creationId xmlns:a16="http://schemas.microsoft.com/office/drawing/2014/main" id="{EB0EDD9C-AEB0-43E2-AFA6-EB2524ACCC7A}"/>
            </a:ext>
            <a:ext uri="{147F2762-F138-4A5C-976F-8EAC2B608ADB}">
              <a16:predDERef xmlns:a16="http://schemas.microsoft.com/office/drawing/2014/main" pred="{5BBDD38A-7883-402D-9BCB-23CF179B6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22</xdr:col>
      <xdr:colOff>171450</xdr:colOff>
      <xdr:row>110</xdr:row>
      <xdr:rowOff>9525</xdr:rowOff>
    </xdr:from>
    <xdr:to>
      <xdr:col>28</xdr:col>
      <xdr:colOff>762000</xdr:colOff>
      <xdr:row>127</xdr:row>
      <xdr:rowOff>76200</xdr:rowOff>
    </xdr:to>
    <xdr:graphicFrame macro="">
      <xdr:nvGraphicFramePr>
        <xdr:cNvPr id="33" name="Gráfico 32">
          <a:extLst>
            <a:ext uri="{FF2B5EF4-FFF2-40B4-BE49-F238E27FC236}">
              <a16:creationId xmlns:a16="http://schemas.microsoft.com/office/drawing/2014/main" id="{104F73BA-53D3-4CD9-A259-2A82DBDB74F1}"/>
            </a:ext>
            <a:ext uri="{147F2762-F138-4A5C-976F-8EAC2B608ADB}">
              <a16:predDERef xmlns:a16="http://schemas.microsoft.com/office/drawing/2014/main" pred="{EB0EDD9C-AEB0-43E2-AFA6-EB2524ACCC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hyperlink" Target="https://www.linkedin.com/in/vagnerkunzcabral" TargetMode="Externa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outlinePr summaryBelow="1" summaryRight="1"/>
    <pageSetUpPr/>
  </sheetPr>
  <dimension ref="A1:BI129"/>
  <sheetViews>
    <sheetView tabSelected="1" workbookViewId="0">
      <selection activeCell="AV123" sqref="AV123"/>
    </sheetView>
  </sheetViews>
  <sheetFormatPr baseColWidth="8" defaultRowHeight="15"/>
  <cols>
    <col width="4.5703125" customWidth="1" min="1" max="1"/>
    <col width="5.28515625" customWidth="1" min="2" max="2"/>
    <col width="2.7109375" customWidth="1" min="3" max="3"/>
    <col width="11.42578125" bestFit="1" customWidth="1" min="17" max="17"/>
    <col width="10.5703125" customWidth="1" min="21" max="28"/>
    <col width="12.5703125" customWidth="1" min="29" max="29"/>
    <col width="5.7109375" customWidth="1" min="30" max="30"/>
    <col width="2.42578125" customWidth="1" min="32" max="32"/>
    <col width="6.85546875" customWidth="1" min="33" max="33"/>
    <col width="4.5703125" customWidth="1" min="34" max="34"/>
    <col width="11.42578125" bestFit="1" customWidth="1" min="60" max="60"/>
  </cols>
  <sheetData>
    <row r="1" ht="15.75" customHeight="1">
      <c r="A1" s="6" t="n"/>
      <c r="B1" s="6" t="n"/>
      <c r="C1" s="6" t="n"/>
      <c r="D1" s="6" t="n"/>
      <c r="E1" s="6" t="n"/>
      <c r="F1" s="6" t="n"/>
      <c r="G1" s="6" t="n"/>
      <c r="H1" s="6" t="n"/>
      <c r="I1" s="6" t="n"/>
      <c r="J1" s="6" t="n"/>
      <c r="K1" s="6" t="n"/>
      <c r="L1" s="6" t="n"/>
      <c r="M1" s="6" t="n"/>
      <c r="N1" s="6" t="n"/>
      <c r="O1" s="6" t="n"/>
      <c r="P1" s="6" t="n"/>
      <c r="Q1" s="6" t="n"/>
      <c r="R1" s="6" t="n"/>
      <c r="S1" s="6" t="n"/>
      <c r="T1" s="6" t="n"/>
      <c r="U1" s="6" t="n"/>
      <c r="V1" s="6" t="n"/>
      <c r="W1" s="6" t="n"/>
      <c r="X1" s="6" t="n"/>
      <c r="Y1" s="6" t="n"/>
      <c r="Z1" s="6" t="n"/>
      <c r="AA1" s="6" t="n"/>
      <c r="AB1" s="6" t="n"/>
      <c r="AC1" s="6" t="n"/>
      <c r="AD1" s="6" t="n"/>
      <c r="AF1" s="6" t="n"/>
      <c r="AG1" s="6" t="n"/>
      <c r="AH1" s="6" t="n"/>
      <c r="AI1" s="6" t="n"/>
      <c r="AJ1" s="6" t="n"/>
      <c r="AK1" s="6" t="n"/>
      <c r="AL1" s="6" t="n"/>
      <c r="AM1" s="6" t="n"/>
      <c r="AN1" s="6" t="n"/>
      <c r="AO1" s="6" t="n"/>
      <c r="AP1" s="6" t="n"/>
      <c r="AQ1" s="6" t="n"/>
      <c r="AR1" s="6" t="n"/>
      <c r="AS1" s="6" t="n"/>
      <c r="AT1" s="6" t="n"/>
      <c r="AU1" s="6" t="n"/>
      <c r="AV1" s="6" t="n"/>
      <c r="AW1" s="6" t="n"/>
      <c r="AX1" s="6" t="n"/>
      <c r="AY1" s="6" t="n"/>
      <c r="AZ1" s="6" t="n"/>
      <c r="BA1" s="6" t="n"/>
      <c r="BB1" s="6" t="n"/>
      <c r="BC1" s="6" t="n"/>
      <c r="BD1" s="6" t="n"/>
      <c r="BE1" s="6" t="n"/>
      <c r="BF1" s="6" t="n"/>
      <c r="BG1" s="6" t="n"/>
      <c r="BH1" s="6" t="n"/>
      <c r="BI1" s="6" t="n"/>
    </row>
    <row r="2" ht="39.75" customHeight="1">
      <c r="A2" s="6" t="n"/>
      <c r="B2" s="6" t="n"/>
      <c r="C2" s="6" t="n"/>
      <c r="D2" s="7" t="n"/>
      <c r="E2" s="6" t="n"/>
      <c r="F2" s="6" t="n"/>
      <c r="G2" s="6" t="n"/>
      <c r="H2" s="6" t="n"/>
      <c r="I2" s="6" t="n"/>
      <c r="J2" s="6" t="n"/>
      <c r="K2" s="6" t="n"/>
      <c r="L2" s="33" t="inlineStr">
        <is>
          <t>DASHBOARD EXECUTIVO - PROJETO</t>
        </is>
      </c>
      <c r="M2" s="34">
        <f>gp_Cabecalhos!B1</f>
        <v/>
      </c>
      <c r="N2" s="6" t="n"/>
      <c r="O2" s="6" t="n"/>
      <c r="P2" s="6" t="n"/>
      <c r="Q2" s="6" t="n"/>
      <c r="R2" s="6" t="n"/>
      <c r="S2" s="6" t="n"/>
      <c r="T2" s="6" t="n"/>
      <c r="U2" s="32" t="inlineStr">
        <is>
          <t>Gerente do Projeto</t>
        </is>
      </c>
      <c r="V2" s="6" t="n"/>
      <c r="W2" s="9" t="n"/>
      <c r="X2" s="10" t="n"/>
      <c r="Y2" s="6" t="n"/>
      <c r="Z2" s="6" t="n"/>
      <c r="AA2" s="6" t="n"/>
      <c r="AB2" s="32" t="inlineStr">
        <is>
          <t>Data da extração:</t>
        </is>
      </c>
      <c r="AC2" s="10">
        <f>gp_Cabecalhos!B7</f>
        <v/>
      </c>
      <c r="AD2" s="6" t="n"/>
      <c r="AF2" s="6" t="n"/>
      <c r="AG2" s="6" t="n"/>
      <c r="AH2" s="6" t="n"/>
      <c r="AI2" s="7" t="n"/>
      <c r="AJ2" s="6" t="n"/>
      <c r="AK2" s="6" t="n"/>
      <c r="AL2" s="6" t="n"/>
      <c r="AM2" s="6" t="n"/>
      <c r="AN2" s="6" t="n"/>
      <c r="AO2" s="6" t="n"/>
      <c r="AP2" s="6" t="n"/>
      <c r="AQ2" s="33" t="inlineStr">
        <is>
          <t>DASHBOARD EXECUTIVO - SPRINT</t>
        </is>
      </c>
      <c r="AR2" s="34">
        <f>gp_Cabecalhos!B1</f>
        <v/>
      </c>
      <c r="AS2" s="6" t="n"/>
      <c r="AT2" s="6" t="n"/>
      <c r="AU2" s="6" t="n"/>
      <c r="AV2" s="6" t="n"/>
      <c r="AW2" s="6" t="n"/>
      <c r="AX2" s="6" t="n"/>
      <c r="AY2" s="6" t="n"/>
      <c r="AZ2" s="32" t="inlineStr">
        <is>
          <t>Gerente do Projeto</t>
        </is>
      </c>
      <c r="BA2" s="6">
        <f>gp_Cabecalhos!B2</f>
        <v/>
      </c>
      <c r="BB2" s="9" t="n"/>
      <c r="BC2" s="10" t="n"/>
      <c r="BD2" s="6" t="n"/>
      <c r="BE2" s="6" t="n"/>
      <c r="BF2" s="6" t="n"/>
      <c r="BG2" s="32" t="inlineStr">
        <is>
          <t>Data da extração:</t>
        </is>
      </c>
      <c r="BH2" s="10">
        <f>gp_Cabecalhos!B7</f>
        <v/>
      </c>
      <c r="BI2" s="6" t="n"/>
    </row>
    <row r="3" ht="15" customHeight="1">
      <c r="A3" s="6" t="n"/>
      <c r="B3" s="6" t="n"/>
      <c r="C3" s="6" t="n"/>
      <c r="D3" s="6" t="n"/>
      <c r="E3" s="6" t="n"/>
      <c r="F3" s="6" t="n"/>
      <c r="G3" s="6" t="n"/>
      <c r="H3" s="6" t="n"/>
      <c r="I3" s="6" t="n"/>
      <c r="J3" s="6" t="n"/>
      <c r="K3" s="6" t="n"/>
      <c r="L3" s="6" t="n"/>
      <c r="M3" s="6" t="n"/>
      <c r="N3" s="6" t="n"/>
      <c r="O3" s="6" t="n"/>
      <c r="P3" s="6" t="n"/>
      <c r="Q3" s="6" t="n"/>
      <c r="R3" s="6" t="n"/>
      <c r="S3" s="6" t="n"/>
      <c r="T3" s="6" t="n"/>
      <c r="U3" s="32" t="inlineStr">
        <is>
          <t>Linkedin:</t>
        </is>
      </c>
      <c r="V3" s="6">
        <f>gp_Cabecalhos!B3</f>
        <v/>
      </c>
      <c r="W3" s="6" t="n"/>
      <c r="X3" s="6" t="n"/>
      <c r="Y3" s="6" t="n"/>
      <c r="Z3" s="6" t="n"/>
      <c r="AA3" s="6" t="n"/>
      <c r="AB3" s="6" t="n"/>
      <c r="AC3" s="6" t="n"/>
      <c r="AD3" s="6" t="n"/>
      <c r="AF3" s="6" t="n"/>
      <c r="AG3" s="6" t="n"/>
      <c r="AH3" s="6" t="n"/>
      <c r="AI3" s="6" t="n"/>
      <c r="AJ3" s="6" t="n"/>
      <c r="AK3" s="6" t="n"/>
      <c r="AL3" s="6" t="n"/>
      <c r="AM3" s="6" t="n"/>
      <c r="AN3" s="6" t="n"/>
      <c r="AO3" s="6" t="n"/>
      <c r="AP3" s="6" t="n"/>
      <c r="AQ3" s="6" t="n"/>
      <c r="AR3" s="6" t="n"/>
      <c r="AS3" s="6" t="n"/>
      <c r="AT3" s="6" t="n"/>
      <c r="AU3" s="6" t="n"/>
      <c r="AV3" s="6" t="n"/>
      <c r="AW3" s="6" t="n"/>
      <c r="AX3" s="6" t="n"/>
      <c r="AY3" s="6" t="n"/>
      <c r="AZ3" s="32" t="inlineStr">
        <is>
          <t>Linkedin:</t>
        </is>
      </c>
      <c r="BA3" s="6">
        <f>gp_Cabecalhos!B3</f>
        <v/>
      </c>
      <c r="BB3" s="6" t="n"/>
      <c r="BC3" s="6" t="n"/>
      <c r="BD3" s="6" t="n"/>
      <c r="BE3" s="6" t="n"/>
      <c r="BF3" s="6" t="n"/>
      <c r="BG3" s="6" t="n"/>
      <c r="BH3" s="6" t="n"/>
      <c r="BI3" s="6" t="n"/>
    </row>
    <row r="4" ht="15" customHeight="1">
      <c r="A4" s="6" t="n"/>
      <c r="B4" s="6" t="n"/>
      <c r="C4" s="6" t="n"/>
      <c r="D4" s="6" t="n"/>
      <c r="E4" s="6" t="n"/>
      <c r="F4" s="6" t="n"/>
      <c r="G4" s="6" t="n"/>
      <c r="H4" s="6" t="n"/>
      <c r="I4" s="6" t="n"/>
      <c r="J4" s="6" t="n"/>
      <c r="K4" s="6" t="n"/>
      <c r="L4" s="6" t="n"/>
      <c r="M4" s="6" t="n"/>
      <c r="N4" s="6" t="n"/>
      <c r="O4" s="6" t="n"/>
      <c r="P4" s="6" t="n"/>
      <c r="Q4" s="6" t="n"/>
      <c r="R4" s="6" t="n"/>
      <c r="S4" s="32" t="n"/>
      <c r="T4" s="6" t="n"/>
      <c r="U4" s="6" t="n"/>
      <c r="V4" s="6" t="n"/>
      <c r="W4" s="6" t="n"/>
      <c r="X4" s="6" t="n"/>
      <c r="Y4" s="6" t="n"/>
      <c r="Z4" s="6" t="n"/>
      <c r="AA4" s="6" t="n"/>
      <c r="AB4" s="6" t="n"/>
      <c r="AC4" s="6" t="n"/>
      <c r="AD4" s="6" t="n"/>
      <c r="AF4" s="6" t="n"/>
      <c r="AG4" s="6" t="n"/>
      <c r="AH4" s="6" t="n"/>
      <c r="AI4" s="6" t="n"/>
      <c r="AJ4" s="6" t="n"/>
      <c r="AK4" s="6" t="n"/>
      <c r="AL4" s="6" t="n"/>
      <c r="AM4" s="6" t="n"/>
      <c r="AN4" s="6" t="n"/>
      <c r="AO4" s="6" t="n"/>
      <c r="AP4" s="6" t="n"/>
      <c r="AQ4" s="6" t="n"/>
      <c r="AR4" s="6" t="n"/>
      <c r="AS4" s="6" t="n"/>
      <c r="AT4" s="6" t="n"/>
      <c r="AU4" s="6" t="n"/>
      <c r="AV4" s="6" t="n"/>
      <c r="AW4" s="6" t="n"/>
      <c r="AX4" s="6" t="n"/>
      <c r="AY4" s="6" t="n"/>
      <c r="AZ4" s="6" t="n"/>
      <c r="BA4" s="6" t="n"/>
      <c r="BB4" s="6" t="n"/>
      <c r="BC4" s="6" t="n"/>
      <c r="BD4" s="6" t="n"/>
      <c r="BE4" s="6" t="n"/>
      <c r="BF4" s="6" t="n"/>
      <c r="BG4" s="6" t="n"/>
      <c r="BH4" s="6" t="n"/>
      <c r="BI4" s="6" t="n"/>
    </row>
    <row r="5" ht="15.75" customHeight="1">
      <c r="A5" s="6" t="n"/>
      <c r="B5" s="97" t="inlineStr">
        <is>
          <t>DADOS GERENCIAIS DO PROJETO</t>
        </is>
      </c>
      <c r="C5" s="6" t="n"/>
      <c r="D5" s="95" t="inlineStr">
        <is>
          <t>PRODUCT GOAL (Meta/Objetivo do produto)</t>
        </is>
      </c>
      <c r="AD5" s="6" t="n"/>
      <c r="AF5" s="6" t="n"/>
      <c r="AG5" s="96" t="inlineStr">
        <is>
          <t>DADOS DA SPRINT</t>
        </is>
      </c>
      <c r="AH5" s="6" t="n"/>
      <c r="AI5" s="109" t="inlineStr">
        <is>
          <t>SPRINT GOAL (Meta/Objetivo da sprint)</t>
        </is>
      </c>
      <c r="BI5" s="6" t="n"/>
    </row>
    <row r="6" ht="15" customHeight="1">
      <c r="A6" s="6" t="n"/>
      <c r="C6" s="6" t="n"/>
      <c r="D6" s="98">
        <f>gp_Cabecalhos!B4</f>
        <v/>
      </c>
      <c r="AD6" s="6" t="n"/>
      <c r="AF6" s="6" t="n"/>
      <c r="AH6" s="6" t="n"/>
      <c r="AI6" s="108">
        <f>gp_Cabecalhos!B5</f>
        <v/>
      </c>
      <c r="BI6" s="6" t="n"/>
    </row>
    <row r="7" ht="26.25" customHeight="1">
      <c r="A7" s="6" t="n"/>
      <c r="C7" s="6" t="n"/>
      <c r="AD7" s="6" t="n"/>
      <c r="AF7" s="8" t="n"/>
      <c r="AH7" s="6" t="n"/>
      <c r="BI7" s="6" t="n"/>
    </row>
    <row r="8" ht="15" customHeight="1">
      <c r="A8" s="6" t="n"/>
      <c r="C8" s="6" t="n"/>
      <c r="AD8" s="6" t="n"/>
      <c r="AF8" s="6" t="n"/>
      <c r="AH8" s="6" t="n"/>
      <c r="BI8" s="6" t="n"/>
    </row>
    <row r="9" ht="13.5" customHeight="1">
      <c r="A9" s="6" t="n"/>
      <c r="C9" s="6" t="n"/>
      <c r="D9" s="6" t="n"/>
      <c r="E9" s="6" t="n"/>
      <c r="F9" s="6" t="n"/>
      <c r="G9" s="6" t="inlineStr">
        <is>
          <t>REQUISITOS</t>
        </is>
      </c>
      <c r="H9" s="6" t="n"/>
      <c r="I9" s="6" t="n"/>
      <c r="J9" s="6" t="n"/>
      <c r="K9" s="6" t="n"/>
      <c r="L9" s="6" t="n"/>
      <c r="M9" s="6" t="n"/>
      <c r="N9" s="6" t="n"/>
      <c r="O9" s="6" t="n"/>
      <c r="P9" s="6" t="n"/>
      <c r="Q9" s="6" t="n"/>
      <c r="R9" s="6">
        <f>AVERAGE(V9:AC9)</f>
        <v/>
      </c>
      <c r="S9" s="32" t="n"/>
      <c r="T9" s="6" t="n"/>
      <c r="U9" s="6" t="inlineStr">
        <is>
          <t>REQUISITOS</t>
        </is>
      </c>
      <c r="V9" s="6" t="n"/>
      <c r="W9" s="6" t="n"/>
      <c r="X9" s="6" t="n"/>
      <c r="Y9" s="6" t="n"/>
      <c r="Z9" s="6" t="n"/>
      <c r="AA9" s="6" t="n"/>
      <c r="AB9" s="6" t="n"/>
      <c r="AC9" s="6" t="n"/>
      <c r="AD9" s="6" t="n"/>
      <c r="AF9" s="6" t="n"/>
      <c r="AH9" s="6" t="n"/>
      <c r="AI9" s="6" t="n"/>
      <c r="AJ9" s="6" t="n"/>
      <c r="AK9" s="6" t="n"/>
      <c r="AL9" s="6" t="n"/>
      <c r="AM9" s="6" t="n"/>
      <c r="AN9" s="6" t="n"/>
      <c r="AO9" s="6" t="n"/>
      <c r="AP9" s="6" t="n"/>
      <c r="AQ9" s="6" t="n"/>
      <c r="AR9" s="6" t="n"/>
      <c r="AS9" s="6" t="n"/>
      <c r="AT9" s="6" t="n"/>
      <c r="AU9" s="6" t="n"/>
      <c r="AV9" s="6" t="n"/>
      <c r="AW9" s="6" t="n"/>
      <c r="AX9" s="6" t="n"/>
      <c r="AY9" s="6" t="n"/>
      <c r="AZ9" s="6" t="n"/>
      <c r="BA9" s="6" t="n"/>
      <c r="BB9" s="6" t="n"/>
      <c r="BC9" s="6" t="n"/>
      <c r="BD9" s="6" t="n"/>
      <c r="BE9" s="6" t="n"/>
      <c r="BF9" s="6" t="n"/>
      <c r="BG9" s="6" t="n"/>
      <c r="BH9" s="6" t="n"/>
      <c r="BI9" s="6" t="n"/>
    </row>
    <row r="10" ht="36" customHeight="1">
      <c r="A10" s="6" t="n"/>
      <c r="C10" s="6" t="n"/>
      <c r="D10" s="100" t="inlineStr">
        <is>
          <t>ROADMAP DO PROJETO</t>
        </is>
      </c>
      <c r="AD10" s="6" t="n"/>
      <c r="AF10" s="6" t="n"/>
      <c r="AH10" s="8" t="n"/>
      <c r="AI10" s="28">
        <f>xKPI!B1</f>
        <v/>
      </c>
      <c r="AJ10" s="8" t="n"/>
      <c r="AK10" s="28">
        <f>xKPI!B2</f>
        <v/>
      </c>
      <c r="AL10" s="8" t="n"/>
      <c r="AM10" s="28">
        <f>xKPI!B3</f>
        <v/>
      </c>
      <c r="AN10" s="8" t="n"/>
      <c r="AO10" s="28">
        <f>xKPI!B4</f>
        <v/>
      </c>
      <c r="AP10" s="8" t="n"/>
      <c r="AQ10" s="28">
        <f>xKPI!B5</f>
        <v/>
      </c>
      <c r="AR10" s="8" t="n"/>
      <c r="AS10" s="40">
        <f>xKPI!B6</f>
        <v/>
      </c>
      <c r="AT10" s="8" t="n"/>
      <c r="AU10" s="40">
        <f>xKPI!B7</f>
        <v/>
      </c>
      <c r="AV10" s="8" t="n"/>
      <c r="AW10" s="28">
        <f>xKPI!B8</f>
        <v/>
      </c>
      <c r="AX10" s="8" t="n"/>
      <c r="AY10" s="28">
        <f>xKPI!B9</f>
        <v/>
      </c>
      <c r="AZ10" s="8" t="n"/>
      <c r="BA10" s="28">
        <f>xKPI!B10</f>
        <v/>
      </c>
      <c r="BB10" s="8" t="n"/>
      <c r="BC10" s="28">
        <f>xKPI!B11</f>
        <v/>
      </c>
      <c r="BD10" s="29" t="n"/>
      <c r="BE10" s="28">
        <f>xKPI!B12</f>
        <v/>
      </c>
      <c r="BF10" s="29" t="n"/>
      <c r="BG10" s="28">
        <f>xKPI!B13</f>
        <v/>
      </c>
      <c r="BH10" s="6" t="n"/>
      <c r="BI10" s="6" t="n"/>
    </row>
    <row r="11" ht="15" customHeight="1">
      <c r="A11" s="6" t="n"/>
      <c r="C11" s="6" t="n"/>
      <c r="D11" s="6" t="n"/>
      <c r="E11" s="6" t="n"/>
      <c r="F11" s="6" t="n"/>
      <c r="G11" s="6" t="inlineStr">
        <is>
          <t>UX/UI  (MOBILE)</t>
        </is>
      </c>
      <c r="H11" s="6" t="n"/>
      <c r="I11" s="6" t="n"/>
      <c r="J11" s="6" t="n"/>
      <c r="K11" s="6" t="n"/>
      <c r="L11" s="6" t="n"/>
      <c r="M11" s="6" t="n"/>
      <c r="N11" s="6" t="n"/>
      <c r="O11" s="6" t="n"/>
      <c r="P11" s="6" t="n"/>
      <c r="Q11" s="6" t="n"/>
      <c r="R11" s="6">
        <f>AVERAGE(V11:AC11)</f>
        <v/>
      </c>
      <c r="S11" s="32" t="n"/>
      <c r="T11" s="6" t="n"/>
      <c r="U11" s="6" t="inlineStr">
        <is>
          <t>UX/UI  (MOBILE)</t>
        </is>
      </c>
      <c r="V11" s="6" t="n"/>
      <c r="W11" s="6" t="n"/>
      <c r="X11" s="6" t="n"/>
      <c r="Y11" s="6" t="n"/>
      <c r="Z11" s="6" t="n"/>
      <c r="AA11" s="6" t="n"/>
      <c r="AB11" s="6" t="n"/>
      <c r="AC11" s="6" t="n"/>
      <c r="AD11" s="6" t="n"/>
      <c r="AF11" s="6" t="n"/>
      <c r="AH11" s="6" t="n"/>
      <c r="AI11" s="30">
        <f>xKPI!A1</f>
        <v/>
      </c>
      <c r="AJ11" s="30" t="n"/>
      <c r="AK11" s="30">
        <f>xKPI!A2</f>
        <v/>
      </c>
      <c r="AL11" s="30" t="n"/>
      <c r="AM11" s="30">
        <f>xKPI!A3</f>
        <v/>
      </c>
      <c r="AN11" s="30" t="n"/>
      <c r="AO11" s="30">
        <f>xKPI!A4</f>
        <v/>
      </c>
      <c r="AP11" s="30" t="n"/>
      <c r="AQ11" s="30">
        <f>xKPI!A5</f>
        <v/>
      </c>
      <c r="AR11" s="8" t="n"/>
      <c r="AS11" s="30">
        <f>xKPI!A6</f>
        <v/>
      </c>
      <c r="AT11" s="8" t="n"/>
      <c r="AU11" s="30">
        <f>xKPI!A7</f>
        <v/>
      </c>
      <c r="AV11" s="8" t="n"/>
      <c r="AW11" s="30">
        <f>xKPI!A8</f>
        <v/>
      </c>
      <c r="AX11" s="8" t="n"/>
      <c r="AY11" s="30">
        <f>xKPI!A9</f>
        <v/>
      </c>
      <c r="AZ11" s="30" t="n"/>
      <c r="BA11" s="30">
        <f>xKPI!A10</f>
        <v/>
      </c>
      <c r="BB11" s="30" t="n"/>
      <c r="BC11" s="30">
        <f>xKPI!A11</f>
        <v/>
      </c>
      <c r="BD11" s="6" t="n"/>
      <c r="BE11" s="30">
        <f>xKPI!A12</f>
        <v/>
      </c>
      <c r="BF11" s="6" t="n"/>
      <c r="BG11" s="30">
        <f>xKPI!A13</f>
        <v/>
      </c>
      <c r="BH11" s="6" t="n"/>
      <c r="BI11" s="6" t="n"/>
    </row>
    <row r="12" ht="15" customHeight="1">
      <c r="A12" s="6" t="n"/>
      <c r="C12" s="6" t="n"/>
      <c r="D12" s="6" t="n"/>
      <c r="E12" s="6" t="n"/>
      <c r="F12" s="6" t="n"/>
      <c r="G12" s="6" t="inlineStr">
        <is>
          <t>DEV FRONT (DESKTOP)</t>
        </is>
      </c>
      <c r="H12" s="6" t="n"/>
      <c r="I12" s="6" t="n"/>
      <c r="J12" s="6" t="n"/>
      <c r="K12" s="6" t="n"/>
      <c r="L12" s="6" t="n"/>
      <c r="M12" s="6" t="n"/>
      <c r="N12" s="6" t="n"/>
      <c r="O12" s="6" t="n"/>
      <c r="P12" s="6" t="n"/>
      <c r="Q12" s="6" t="n"/>
      <c r="R12" s="6">
        <f>AVERAGE(V12:AC12)</f>
        <v/>
      </c>
      <c r="S12" s="32" t="n"/>
      <c r="T12" s="6" t="n"/>
      <c r="U12" s="6" t="inlineStr">
        <is>
          <t>DEV FRONT (DESKTOP)</t>
        </is>
      </c>
      <c r="V12" s="6" t="n"/>
      <c r="W12" s="6" t="n"/>
      <c r="X12" s="6" t="n"/>
      <c r="Y12" s="6" t="n"/>
      <c r="Z12" s="6" t="n"/>
      <c r="AA12" s="6" t="n"/>
      <c r="AB12" s="6" t="n"/>
      <c r="AC12" s="6" t="n"/>
      <c r="AD12" s="6" t="n"/>
      <c r="AF12" s="6" t="n"/>
      <c r="AH12" s="6" t="n"/>
      <c r="AI12" s="30" t="n"/>
      <c r="AJ12" s="6" t="n"/>
      <c r="AK12" s="30" t="n"/>
      <c r="AL12" s="6" t="n"/>
      <c r="AM12" s="30" t="n"/>
      <c r="AN12" s="6" t="n"/>
      <c r="AO12" s="30" t="n"/>
      <c r="AP12" s="6" t="n"/>
      <c r="AQ12" s="30" t="n"/>
      <c r="AR12" s="6" t="n"/>
      <c r="AS12" s="30" t="n"/>
      <c r="AT12" s="6" t="n"/>
      <c r="AU12" s="30" t="n"/>
      <c r="AV12" s="6" t="n"/>
      <c r="AW12" s="30" t="n"/>
      <c r="AX12" s="6" t="n"/>
      <c r="AY12" s="30" t="n"/>
      <c r="AZ12" s="6" t="n"/>
      <c r="BA12" s="30" t="n"/>
      <c r="BB12" s="6" t="n"/>
      <c r="BC12" s="6" t="n"/>
      <c r="BD12" s="6" t="n"/>
      <c r="BE12" s="6" t="n"/>
      <c r="BF12" s="6" t="n"/>
      <c r="BG12" s="6" t="n"/>
      <c r="BH12" s="6" t="n"/>
      <c r="BI12" s="6" t="n"/>
    </row>
    <row r="13" ht="15" customHeight="1">
      <c r="A13" s="6" t="n"/>
      <c r="C13" s="6" t="n"/>
      <c r="D13" s="6" t="n"/>
      <c r="E13" s="6" t="n"/>
      <c r="F13" s="6" t="n"/>
      <c r="G13" s="6" t="inlineStr">
        <is>
          <t>DEV FRONT (MOBILE)</t>
        </is>
      </c>
      <c r="H13" s="6" t="n"/>
      <c r="I13" s="6" t="n"/>
      <c r="J13" s="6" t="n"/>
      <c r="K13" s="6" t="n"/>
      <c r="L13" s="6" t="n"/>
      <c r="M13" s="6" t="n"/>
      <c r="N13" s="6" t="n"/>
      <c r="O13" s="6" t="n"/>
      <c r="P13" s="6" t="n"/>
      <c r="Q13" s="6" t="n"/>
      <c r="R13" s="6">
        <f>AVERAGE(V13:AC13)</f>
        <v/>
      </c>
      <c r="S13" s="32" t="n"/>
      <c r="T13" s="6" t="n"/>
      <c r="U13" s="6" t="inlineStr">
        <is>
          <t>DEV FRONT (MOBILE)</t>
        </is>
      </c>
      <c r="V13" s="6" t="n"/>
      <c r="W13" s="6" t="n"/>
      <c r="X13" s="6" t="n"/>
      <c r="Y13" s="6" t="n"/>
      <c r="Z13" s="6" t="n"/>
      <c r="AA13" s="6" t="n"/>
      <c r="AB13" s="6" t="n"/>
      <c r="AC13" s="6" t="n"/>
      <c r="AD13" s="6" t="n"/>
      <c r="AF13" s="6" t="n"/>
      <c r="AH13" s="6" t="n"/>
      <c r="AI13" s="6" t="n"/>
      <c r="AJ13" s="6" t="n"/>
      <c r="AK13" s="6" t="n"/>
      <c r="AL13" s="6" t="n"/>
      <c r="AM13" s="6" t="n"/>
      <c r="AN13" s="6" t="n"/>
      <c r="AO13" s="6" t="n"/>
      <c r="AP13" s="6" t="n"/>
      <c r="AQ13" s="6" t="n"/>
      <c r="AR13" s="6" t="n"/>
      <c r="AS13" s="6" t="n"/>
      <c r="AT13" s="6" t="n"/>
      <c r="AU13" s="6" t="n"/>
      <c r="AV13" s="6" t="n"/>
      <c r="AW13" s="6" t="n"/>
      <c r="AX13" s="6" t="n"/>
      <c r="AY13" s="6" t="n"/>
      <c r="AZ13" s="6" t="n"/>
      <c r="BA13" s="6" t="n"/>
      <c r="BB13" s="6" t="n"/>
      <c r="BC13" s="6" t="n"/>
      <c r="BD13" s="6" t="n"/>
      <c r="BE13" s="6" t="n"/>
      <c r="BF13" s="6" t="n"/>
      <c r="BG13" s="6" t="n"/>
      <c r="BH13" s="6" t="n"/>
      <c r="BI13" s="6" t="n"/>
    </row>
    <row r="14" ht="15" customHeight="1">
      <c r="A14" s="6" t="n"/>
      <c r="C14" s="6" t="n"/>
      <c r="D14" s="6" t="n"/>
      <c r="E14" s="6" t="n"/>
      <c r="F14" s="6" t="n"/>
      <c r="G14" s="6" t="inlineStr">
        <is>
          <t>DEV BACK</t>
        </is>
      </c>
      <c r="H14" s="6" t="n"/>
      <c r="I14" s="6" t="n"/>
      <c r="J14" s="6" t="n"/>
      <c r="K14" s="6" t="n"/>
      <c r="L14" s="6" t="n"/>
      <c r="M14" s="6" t="n"/>
      <c r="N14" s="6" t="n"/>
      <c r="O14" s="6" t="n"/>
      <c r="P14" s="6" t="n"/>
      <c r="Q14" s="6" t="n"/>
      <c r="R14" s="6">
        <f>AVERAGE(V14:AC14)</f>
        <v/>
      </c>
      <c r="S14" s="32" t="n"/>
      <c r="T14" s="6" t="n"/>
      <c r="U14" s="6" t="inlineStr">
        <is>
          <t>DEV BACK</t>
        </is>
      </c>
      <c r="V14" s="6" t="n"/>
      <c r="W14" s="6" t="n"/>
      <c r="X14" s="6" t="n"/>
      <c r="Y14" s="6" t="n"/>
      <c r="Z14" s="6" t="n"/>
      <c r="AA14" s="6" t="n"/>
      <c r="AB14" s="6" t="n"/>
      <c r="AC14" s="6" t="n"/>
      <c r="AD14" s="6" t="n"/>
      <c r="AF14" s="6" t="n"/>
      <c r="AH14" s="6" t="n"/>
      <c r="AI14" s="6" t="n"/>
      <c r="AJ14" s="6" t="n"/>
      <c r="AK14" s="6" t="n"/>
      <c r="AL14" s="6" t="n"/>
      <c r="AM14" s="6" t="n"/>
      <c r="AN14" s="6" t="n"/>
      <c r="AO14" s="6" t="n"/>
      <c r="AP14" s="6" t="n"/>
      <c r="AQ14" s="6" t="n"/>
      <c r="AR14" s="6" t="n"/>
      <c r="AS14" s="6" t="n"/>
      <c r="AT14" s="6" t="n"/>
      <c r="AU14" s="6" t="n"/>
      <c r="AV14" s="6" t="n"/>
      <c r="AW14" s="6" t="n"/>
      <c r="AX14" s="6" t="n"/>
      <c r="AY14" s="6" t="n"/>
      <c r="AZ14" s="6" t="n"/>
      <c r="BA14" s="6" t="n"/>
      <c r="BB14" s="6" t="n"/>
      <c r="BC14" s="6" t="n"/>
      <c r="BD14" s="6" t="n"/>
      <c r="BE14" s="6" t="n"/>
      <c r="BF14" s="6" t="n"/>
      <c r="BG14" s="6" t="n"/>
      <c r="BH14" s="6" t="n"/>
      <c r="BI14" s="6" t="n"/>
    </row>
    <row r="15" ht="15" customHeight="1">
      <c r="A15" s="6" t="n"/>
      <c r="C15" s="6" t="n"/>
      <c r="D15" s="6" t="n"/>
      <c r="E15" s="6" t="n"/>
      <c r="F15" s="6" t="n"/>
      <c r="G15" s="6" t="inlineStr">
        <is>
          <t>DEV BANCO DE DADOS</t>
        </is>
      </c>
      <c r="H15" s="6" t="n"/>
      <c r="I15" s="6" t="n"/>
      <c r="J15" s="6" t="n"/>
      <c r="K15" s="6" t="n"/>
      <c r="L15" s="6" t="n"/>
      <c r="M15" s="6" t="n"/>
      <c r="N15" s="6" t="n"/>
      <c r="O15" s="6" t="n"/>
      <c r="P15" s="6" t="n"/>
      <c r="Q15" s="6" t="n"/>
      <c r="R15" s="6">
        <f>AVERAGE(V15:AC15)</f>
        <v/>
      </c>
      <c r="S15" s="32" t="n"/>
      <c r="T15" s="6" t="n"/>
      <c r="U15" s="6" t="inlineStr">
        <is>
          <t>DEV BANCO DE DADOS</t>
        </is>
      </c>
      <c r="V15" s="6" t="n"/>
      <c r="W15" s="6" t="n"/>
      <c r="X15" s="6" t="n"/>
      <c r="Y15" s="6" t="n"/>
      <c r="Z15" s="6" t="n"/>
      <c r="AA15" s="6" t="n"/>
      <c r="AB15" s="6" t="n"/>
      <c r="AC15" s="6" t="n"/>
      <c r="AD15" s="6" t="n"/>
      <c r="AF15" s="6" t="n"/>
      <c r="AH15" s="6" t="n"/>
      <c r="AI15" s="6" t="n"/>
      <c r="AJ15" s="6" t="n"/>
      <c r="AK15" s="6" t="n"/>
      <c r="AL15" s="6" t="n"/>
      <c r="AM15" s="6" t="n"/>
      <c r="AN15" s="6" t="n"/>
      <c r="AO15" s="6" t="n"/>
      <c r="AP15" s="6" t="n"/>
      <c r="AQ15" s="6" t="n"/>
      <c r="AR15" s="6" t="n"/>
      <c r="AS15" s="6" t="n"/>
      <c r="AT15" s="6" t="n"/>
      <c r="AU15" s="6" t="n"/>
      <c r="AV15" s="6" t="n"/>
      <c r="AW15" s="6" t="n"/>
      <c r="AX15" s="6" t="n"/>
      <c r="AY15" s="6" t="n"/>
      <c r="AZ15" s="6" t="n"/>
      <c r="BA15" s="6" t="n"/>
      <c r="BB15" s="6" t="n"/>
      <c r="BC15" s="6" t="n"/>
      <c r="BD15" s="6" t="n"/>
      <c r="BE15" s="6" t="n"/>
      <c r="BF15" s="6" t="n"/>
      <c r="BG15" s="6" t="n"/>
      <c r="BH15" s="6" t="n"/>
      <c r="BI15" s="6" t="n"/>
    </row>
    <row r="16" ht="15" customHeight="1">
      <c r="A16" s="6" t="n"/>
      <c r="C16" s="6" t="n"/>
      <c r="D16" s="6" t="n"/>
      <c r="E16" s="6" t="n"/>
      <c r="F16" s="6" t="n"/>
      <c r="G16" s="6" t="inlineStr">
        <is>
          <t>DEV BI</t>
        </is>
      </c>
      <c r="H16" s="6" t="n"/>
      <c r="I16" s="6" t="n"/>
      <c r="J16" s="6" t="n"/>
      <c r="K16" s="6" t="n"/>
      <c r="L16" s="6" t="n"/>
      <c r="M16" s="6" t="n"/>
      <c r="N16" s="6" t="n"/>
      <c r="O16" s="6" t="n"/>
      <c r="P16" s="6" t="n"/>
      <c r="Q16" s="6" t="n"/>
      <c r="R16" s="6">
        <f>AVERAGE(V16:AC16)</f>
        <v/>
      </c>
      <c r="S16" s="32" t="n"/>
      <c r="T16" s="6" t="n"/>
      <c r="U16" s="6" t="inlineStr">
        <is>
          <t>DEV BI</t>
        </is>
      </c>
      <c r="V16" s="6" t="n"/>
      <c r="W16" s="6" t="n"/>
      <c r="X16" s="6" t="n"/>
      <c r="Y16" s="6" t="n"/>
      <c r="Z16" s="6" t="n"/>
      <c r="AA16" s="6" t="n"/>
      <c r="AB16" s="6" t="n"/>
      <c r="AC16" s="6" t="n"/>
      <c r="AD16" s="6" t="n"/>
      <c r="AF16" s="6" t="n"/>
      <c r="AH16" s="6" t="n"/>
      <c r="AI16" s="6" t="n"/>
      <c r="AJ16" s="6" t="n"/>
      <c r="AK16" s="6" t="n"/>
      <c r="AL16" s="6" t="n"/>
      <c r="AM16" s="6" t="n"/>
      <c r="AN16" s="6" t="n"/>
      <c r="AO16" s="6" t="n"/>
      <c r="AP16" s="6" t="n"/>
      <c r="AQ16" s="6" t="n"/>
      <c r="AR16" s="6" t="n"/>
      <c r="AS16" s="6" t="n"/>
      <c r="AT16" s="6" t="n"/>
      <c r="AU16" s="6" t="n"/>
      <c r="AV16" s="6" t="n"/>
      <c r="AW16" s="6" t="n"/>
      <c r="AX16" s="6" t="n"/>
      <c r="AY16" s="6" t="n"/>
      <c r="AZ16" s="6" t="n"/>
      <c r="BA16" s="6" t="n"/>
      <c r="BB16" s="6" t="n"/>
      <c r="BC16" s="6" t="n"/>
      <c r="BD16" s="6" t="n"/>
      <c r="BE16" s="6" t="n"/>
      <c r="BF16" s="6" t="n"/>
      <c r="BG16" s="6" t="n"/>
      <c r="BH16" s="6" t="n"/>
      <c r="BI16" s="6" t="n"/>
    </row>
    <row r="17" ht="15" customHeight="1">
      <c r="A17" s="6" t="n"/>
      <c r="C17" s="6" t="n"/>
      <c r="D17" s="6" t="n"/>
      <c r="E17" s="6" t="n"/>
      <c r="F17" s="6" t="n"/>
      <c r="G17" s="6" t="inlineStr">
        <is>
          <t>TESTE (possíveis no prazo da sprint)</t>
        </is>
      </c>
      <c r="H17" s="6" t="n"/>
      <c r="I17" s="6" t="n"/>
      <c r="J17" s="6" t="n"/>
      <c r="K17" s="6" t="n"/>
      <c r="L17" s="6" t="n"/>
      <c r="M17" s="6" t="n"/>
      <c r="N17" s="6" t="n"/>
      <c r="O17" s="6" t="n"/>
      <c r="P17" s="6" t="n"/>
      <c r="Q17" s="6" t="n"/>
      <c r="R17" s="6">
        <f>AVERAGE(V17:AC17)</f>
        <v/>
      </c>
      <c r="S17" s="32" t="n"/>
      <c r="T17" s="6" t="n"/>
      <c r="U17" s="6" t="inlineStr">
        <is>
          <t>TESTE (possíveis no prazo da sprint)</t>
        </is>
      </c>
      <c r="V17" s="6" t="n"/>
      <c r="W17" s="6" t="n"/>
      <c r="X17" s="6" t="n"/>
      <c r="Y17" s="6" t="n"/>
      <c r="Z17" s="6" t="n"/>
      <c r="AA17" s="6" t="n"/>
      <c r="AB17" s="6" t="n"/>
      <c r="AC17" s="6" t="n"/>
      <c r="AD17" s="6" t="n"/>
      <c r="AF17" s="6" t="n"/>
      <c r="AH17" s="6" t="n"/>
      <c r="AI17" s="6" t="n"/>
      <c r="AJ17" s="6" t="n"/>
      <c r="AK17" s="6" t="n"/>
      <c r="AL17" s="6" t="n"/>
      <c r="AM17" s="6" t="n"/>
      <c r="AN17" s="6" t="n"/>
      <c r="AO17" s="6" t="n"/>
      <c r="AP17" s="6" t="n"/>
      <c r="AQ17" s="6" t="n"/>
      <c r="AR17" s="6" t="n"/>
      <c r="AS17" s="6" t="n"/>
      <c r="AT17" s="6" t="n"/>
      <c r="AU17" s="6" t="n"/>
      <c r="AV17" s="6" t="n"/>
      <c r="AW17" s="6" t="n"/>
      <c r="AX17" s="6" t="n"/>
      <c r="AY17" s="6" t="n"/>
      <c r="AZ17" s="6" t="n"/>
      <c r="BA17" s="6" t="n"/>
      <c r="BB17" s="6" t="n"/>
      <c r="BC17" s="6" t="n"/>
      <c r="BD17" s="6" t="n"/>
      <c r="BE17" s="6" t="n"/>
      <c r="BF17" s="6" t="n"/>
      <c r="BG17" s="6" t="n"/>
      <c r="BH17" s="6" t="n"/>
      <c r="BI17" s="6" t="n"/>
    </row>
    <row r="18" ht="15" customHeight="1">
      <c r="A18" s="6" t="n"/>
      <c r="C18" s="6" t="n"/>
      <c r="D18" s="6" t="n"/>
      <c r="E18" s="6" t="n"/>
      <c r="F18" s="6" t="n"/>
      <c r="G18" s="6" t="inlineStr">
        <is>
          <t>ARQUITETURA</t>
        </is>
      </c>
      <c r="H18" s="6" t="n"/>
      <c r="I18" s="6" t="n"/>
      <c r="J18" s="6" t="n"/>
      <c r="K18" s="6" t="n"/>
      <c r="L18" s="6" t="n"/>
      <c r="M18" s="6" t="n"/>
      <c r="N18" s="6" t="n"/>
      <c r="O18" s="6" t="n"/>
      <c r="P18" s="6" t="n"/>
      <c r="Q18" s="6" t="n"/>
      <c r="R18" s="6">
        <f>AVERAGE(V18:AC18)</f>
        <v/>
      </c>
      <c r="S18" s="32" t="n"/>
      <c r="T18" s="6" t="n"/>
      <c r="U18" s="6" t="inlineStr">
        <is>
          <t>ARQUITETURA</t>
        </is>
      </c>
      <c r="V18" s="6" t="n"/>
      <c r="W18" s="6" t="n"/>
      <c r="X18" s="6" t="n"/>
      <c r="Y18" s="6" t="n"/>
      <c r="Z18" s="6" t="n"/>
      <c r="AA18" s="6" t="n"/>
      <c r="AB18" s="6" t="n"/>
      <c r="AC18" s="6" t="n"/>
      <c r="AD18" s="6" t="n"/>
      <c r="AF18" s="6" t="n"/>
      <c r="AH18" s="6" t="n"/>
      <c r="AI18" s="6" t="n"/>
      <c r="AJ18" s="6" t="n"/>
      <c r="AK18" s="6" t="n"/>
      <c r="AL18" s="6" t="n"/>
      <c r="AM18" s="6" t="n"/>
      <c r="AN18" s="6" t="n"/>
      <c r="AO18" s="6" t="n"/>
      <c r="AP18" s="6" t="n"/>
      <c r="AQ18" s="6" t="n"/>
      <c r="AR18" s="6" t="n"/>
      <c r="AS18" s="6" t="n"/>
      <c r="AT18" s="6" t="n"/>
      <c r="AU18" s="6" t="n"/>
      <c r="AV18" s="6" t="n"/>
      <c r="AW18" s="6" t="n"/>
      <c r="AX18" s="6" t="n"/>
      <c r="AY18" s="6" t="n"/>
      <c r="AZ18" s="6" t="n"/>
      <c r="BA18" s="6" t="n"/>
      <c r="BB18" s="6" t="n"/>
      <c r="BC18" s="6" t="n"/>
      <c r="BD18" s="6" t="n"/>
      <c r="BE18" s="6" t="n"/>
      <c r="BF18" s="6" t="n"/>
      <c r="BG18" s="6" t="n"/>
      <c r="BH18" s="6" t="n"/>
      <c r="BI18" s="6" t="n"/>
    </row>
    <row r="19" ht="15" customHeight="1">
      <c r="A19" s="6" t="n"/>
      <c r="C19" s="6" t="n"/>
      <c r="D19" s="6" t="n"/>
      <c r="E19" s="6" t="n"/>
      <c r="F19" s="6" t="n"/>
      <c r="G19" s="6" t="inlineStr">
        <is>
          <t>Mensuração (maior esforço individual)</t>
        </is>
      </c>
      <c r="H19" s="6" t="n"/>
      <c r="I19" s="6" t="n"/>
      <c r="J19" s="6" t="n"/>
      <c r="K19" s="6" t="n"/>
      <c r="L19" s="6" t="n"/>
      <c r="M19" s="6" t="n"/>
      <c r="N19" s="6" t="n"/>
      <c r="O19" s="6" t="n"/>
      <c r="P19" s="6" t="n"/>
      <c r="Q19" s="6" t="n"/>
      <c r="R19" s="6">
        <f>AVERAGE(V19:AC19)</f>
        <v/>
      </c>
      <c r="S19" s="32" t="n"/>
      <c r="T19" s="6" t="n"/>
      <c r="U19" s="6" t="inlineStr">
        <is>
          <t>Mensuração (maior esforço individual)</t>
        </is>
      </c>
      <c r="V19" s="6" t="n"/>
      <c r="W19" s="6" t="n"/>
      <c r="X19" s="6" t="n"/>
      <c r="Y19" s="6" t="n"/>
      <c r="Z19" s="6" t="n"/>
      <c r="AA19" s="6" t="n"/>
      <c r="AB19" s="6" t="n"/>
      <c r="AC19" s="6" t="n"/>
      <c r="AD19" s="6" t="n"/>
      <c r="AF19" s="6" t="n"/>
      <c r="AH19" s="6" t="n"/>
      <c r="AI19" s="6" t="n"/>
      <c r="AJ19" s="6" t="n"/>
      <c r="AK19" s="6" t="n"/>
      <c r="AL19" s="6" t="n"/>
      <c r="AM19" s="6" t="n"/>
      <c r="AN19" s="6" t="n"/>
      <c r="AO19" s="6" t="n"/>
      <c r="AP19" s="6" t="n"/>
      <c r="AQ19" s="6" t="n"/>
      <c r="AR19" s="6" t="n"/>
      <c r="AS19" s="6" t="n"/>
      <c r="AT19" s="6" t="n"/>
      <c r="AU19" s="6" t="n"/>
      <c r="AV19" s="6" t="n"/>
      <c r="AW19" s="6" t="n"/>
      <c r="AX19" s="6" t="n"/>
      <c r="AY19" s="6" t="n"/>
      <c r="AZ19" s="6" t="n"/>
      <c r="BA19" s="6" t="n"/>
      <c r="BB19" s="6" t="n"/>
      <c r="BC19" s="6" t="n"/>
      <c r="BD19" s="6" t="n"/>
      <c r="BE19" s="6" t="n"/>
      <c r="BF19" s="6" t="n"/>
      <c r="BG19" s="6" t="n"/>
      <c r="BH19" s="6" t="n"/>
      <c r="BI19" s="6" t="n"/>
    </row>
    <row r="20" ht="15" customHeight="1">
      <c r="A20" s="6" t="n"/>
      <c r="C20" s="6" t="n"/>
      <c r="D20" s="6" t="n"/>
      <c r="E20" s="6" t="n"/>
      <c r="F20" s="6" t="n"/>
      <c r="G20" s="6" t="inlineStr">
        <is>
          <t>Mensuracao soma total esforço por HU</t>
        </is>
      </c>
      <c r="H20" s="6" t="n"/>
      <c r="I20" s="6" t="n"/>
      <c r="J20" s="6" t="n"/>
      <c r="K20" s="6" t="n"/>
      <c r="L20" s="6" t="n"/>
      <c r="M20" s="6" t="n"/>
      <c r="N20" s="6" t="n"/>
      <c r="O20" s="6" t="n"/>
      <c r="P20" s="6" t="n"/>
      <c r="Q20" s="6" t="n"/>
      <c r="R20" s="6">
        <f>AVERAGE(V20:AC20)</f>
        <v/>
      </c>
      <c r="S20" s="32" t="n"/>
      <c r="T20" s="6" t="n"/>
      <c r="U20" s="6" t="inlineStr">
        <is>
          <t>Mensuracao soma total esforço por HU</t>
        </is>
      </c>
      <c r="V20" s="6" t="n"/>
      <c r="W20" s="6" t="n"/>
      <c r="X20" s="6" t="n"/>
      <c r="Y20" s="6" t="n"/>
      <c r="Z20" s="6" t="n"/>
      <c r="AA20" s="6" t="n"/>
      <c r="AB20" s="6" t="n"/>
      <c r="AC20" s="6" t="n"/>
      <c r="AD20" s="6" t="n"/>
      <c r="AF20" s="6" t="n"/>
      <c r="AH20" s="6" t="n"/>
      <c r="AI20" s="6" t="n"/>
      <c r="AJ20" s="6" t="n"/>
      <c r="AK20" s="6" t="n"/>
      <c r="AL20" s="6" t="n"/>
      <c r="AM20" s="6" t="n"/>
      <c r="AN20" s="6" t="n"/>
      <c r="AO20" s="6" t="n"/>
      <c r="AP20" s="6" t="n"/>
      <c r="AQ20" s="6" t="n"/>
      <c r="AR20" s="6" t="n"/>
      <c r="AS20" s="6" t="n"/>
      <c r="AT20" s="6" t="n"/>
      <c r="AU20" s="6" t="n"/>
      <c r="AV20" s="6" t="n"/>
      <c r="AW20" s="6" t="n"/>
      <c r="AX20" s="6" t="n"/>
      <c r="AY20" s="6" t="n"/>
      <c r="AZ20" s="6" t="n"/>
      <c r="BA20" s="6" t="n"/>
      <c r="BB20" s="6" t="n"/>
      <c r="BC20" s="6" t="n"/>
      <c r="BD20" s="6" t="n"/>
      <c r="BE20" s="6" t="n"/>
      <c r="BF20" s="6" t="n"/>
      <c r="BG20" s="6" t="n"/>
      <c r="BH20" s="6" t="n"/>
      <c r="BI20" s="6" t="n"/>
    </row>
    <row r="21" ht="15" customHeight="1">
      <c r="A21" s="6" t="n"/>
      <c r="C21" s="6" t="n"/>
      <c r="D21" s="6" t="n"/>
      <c r="E21" s="6" t="n"/>
      <c r="F21" s="6" t="n"/>
      <c r="G21" s="6" t="n"/>
      <c r="H21" s="6" t="n"/>
      <c r="I21" s="6" t="n"/>
      <c r="J21" s="6" t="n"/>
      <c r="K21" s="6" t="n"/>
      <c r="L21" s="6" t="n"/>
      <c r="M21" s="6" t="n"/>
      <c r="N21" s="6" t="n"/>
      <c r="O21" s="6" t="n"/>
      <c r="P21" s="6" t="n"/>
      <c r="Q21" s="6" t="n"/>
      <c r="R21" s="6">
        <f>AVERAGE(V21:AC21)</f>
        <v/>
      </c>
      <c r="S21" s="32" t="n"/>
      <c r="T21" s="6" t="n"/>
      <c r="U21" s="6" t="inlineStr">
        <is>
          <t>Quantidade de Histórias de Usuário (HU)</t>
        </is>
      </c>
      <c r="V21" s="6" t="n"/>
      <c r="W21" s="6" t="n"/>
      <c r="X21" s="6" t="n"/>
      <c r="Y21" s="6" t="n"/>
      <c r="Z21" s="6" t="n"/>
      <c r="AA21" s="6" t="n"/>
      <c r="AB21" s="6" t="n"/>
      <c r="AC21" s="6" t="n"/>
      <c r="AD21" s="6" t="n"/>
      <c r="AF21" s="6" t="n"/>
      <c r="AH21" s="6" t="n"/>
      <c r="AI21" s="6" t="n"/>
      <c r="AJ21" s="6" t="n"/>
      <c r="AK21" s="6" t="n"/>
      <c r="AL21" s="6" t="n"/>
      <c r="AM21" s="6" t="n"/>
      <c r="AN21" s="6" t="n"/>
      <c r="AO21" s="6" t="n"/>
      <c r="AP21" s="6" t="n"/>
      <c r="AQ21" s="6" t="n"/>
      <c r="AR21" s="6" t="n"/>
      <c r="AS21" s="6" t="n"/>
      <c r="AT21" s="6" t="n"/>
      <c r="AU21" s="6" t="n"/>
      <c r="AV21" s="6" t="n"/>
      <c r="AW21" s="6" t="n"/>
      <c r="AX21" s="6" t="n"/>
      <c r="AY21" s="6" t="n"/>
      <c r="AZ21" s="6" t="n"/>
      <c r="BA21" s="6" t="n"/>
      <c r="BB21" s="6" t="n"/>
      <c r="BC21" s="6" t="n"/>
      <c r="BD21" s="6" t="n"/>
      <c r="BE21" s="6" t="n"/>
      <c r="BF21" s="6" t="n"/>
      <c r="BG21" s="6" t="n"/>
      <c r="BH21" s="6" t="n"/>
      <c r="BI21" s="6" t="n"/>
    </row>
    <row r="22" ht="15" customHeight="1">
      <c r="A22" s="6" t="n"/>
      <c r="C22" s="6" t="n"/>
      <c r="D22" s="6" t="n"/>
      <c r="E22" s="6" t="n"/>
      <c r="F22" s="6" t="n"/>
      <c r="G22" s="6" t="n"/>
      <c r="H22" s="6" t="n"/>
      <c r="I22" s="6" t="n"/>
      <c r="J22" s="6" t="n"/>
      <c r="K22" s="6" t="n"/>
      <c r="L22" s="6" t="n"/>
      <c r="M22" s="6" t="n"/>
      <c r="N22" s="6" t="n"/>
      <c r="O22" s="6" t="n"/>
      <c r="P22" s="6" t="n"/>
      <c r="Q22" s="6" t="n"/>
      <c r="R22" s="6" t="n"/>
      <c r="S22" s="32" t="n"/>
      <c r="T22" s="6" t="n"/>
      <c r="U22" s="6" t="n"/>
      <c r="V22" s="6" t="n"/>
      <c r="W22" s="6" t="n"/>
      <c r="X22" s="6" t="n"/>
      <c r="Y22" s="6" t="n"/>
      <c r="Z22" s="6" t="n"/>
      <c r="AA22" s="6" t="n"/>
      <c r="AB22" s="6" t="n"/>
      <c r="AC22" s="6" t="n"/>
      <c r="AD22" s="6" t="n"/>
      <c r="AF22" s="6" t="n"/>
      <c r="AH22" s="6" t="n"/>
      <c r="AI22" s="6" t="n"/>
      <c r="AJ22" s="6" t="n"/>
      <c r="AK22" s="6" t="n"/>
      <c r="AL22" s="6" t="n"/>
      <c r="AM22" s="6" t="n"/>
      <c r="AN22" s="6" t="n"/>
      <c r="AO22" s="6" t="n"/>
      <c r="AP22" s="6" t="n"/>
      <c r="AQ22" s="6" t="n"/>
      <c r="AR22" s="6" t="n"/>
      <c r="AS22" s="6" t="n"/>
      <c r="AT22" s="6" t="n"/>
      <c r="AU22" s="6" t="n"/>
      <c r="AV22" s="6" t="n"/>
      <c r="AW22" s="6" t="n"/>
      <c r="AX22" s="6" t="n"/>
      <c r="AY22" s="6" t="n"/>
      <c r="AZ22" s="6" t="n"/>
      <c r="BA22" s="6" t="n"/>
      <c r="BB22" s="6" t="n"/>
      <c r="BC22" s="6" t="n"/>
      <c r="BD22" s="6" t="n"/>
      <c r="BE22" s="6" t="n"/>
      <c r="BF22" s="6" t="n"/>
      <c r="BG22" s="6" t="n"/>
      <c r="BH22" s="6" t="n"/>
      <c r="BI22" s="6" t="n"/>
    </row>
    <row r="23" ht="15" customHeight="1">
      <c r="A23" s="6" t="n"/>
      <c r="C23" s="6" t="n"/>
      <c r="D23" s="6" t="n"/>
      <c r="E23" s="6" t="n"/>
      <c r="F23" s="6" t="n"/>
      <c r="G23" s="6" t="n"/>
      <c r="H23" s="6" t="n"/>
      <c r="I23" s="6" t="n"/>
      <c r="J23" s="6" t="n"/>
      <c r="K23" s="6" t="n"/>
      <c r="L23" s="6" t="n"/>
      <c r="M23" s="6" t="n"/>
      <c r="N23" s="6" t="n"/>
      <c r="O23" s="6" t="n"/>
      <c r="P23" s="6" t="n"/>
      <c r="Q23" s="6" t="n"/>
      <c r="R23" s="6" t="n"/>
      <c r="S23" s="32" t="n"/>
      <c r="T23" s="6" t="n"/>
      <c r="U23" s="6" t="n"/>
      <c r="V23" s="6" t="n"/>
      <c r="W23" s="6" t="n"/>
      <c r="X23" s="6" t="n"/>
      <c r="Y23" s="6" t="n"/>
      <c r="Z23" s="6" t="n"/>
      <c r="AA23" s="6" t="n"/>
      <c r="AB23" s="6" t="n"/>
      <c r="AC23" s="6" t="n"/>
      <c r="AD23" s="6" t="n"/>
      <c r="AF23" s="6" t="n"/>
      <c r="AH23" s="6" t="n"/>
      <c r="AI23" s="6" t="n"/>
      <c r="AJ23" s="6" t="n"/>
      <c r="AK23" s="6" t="n"/>
      <c r="AL23" s="6" t="n"/>
      <c r="AM23" s="6" t="n"/>
      <c r="AN23" s="6" t="n"/>
      <c r="AO23" s="6" t="n"/>
      <c r="AP23" s="6" t="n"/>
      <c r="AQ23" s="6" t="n"/>
      <c r="AR23" s="6" t="n"/>
      <c r="AS23" s="6" t="n"/>
      <c r="AT23" s="6" t="n"/>
      <c r="AU23" s="6" t="n"/>
      <c r="AV23" s="6" t="n"/>
      <c r="AW23" s="6" t="n"/>
      <c r="AX23" s="6" t="n"/>
      <c r="AY23" s="6" t="n"/>
      <c r="AZ23" s="6" t="n"/>
      <c r="BA23" s="6" t="n"/>
      <c r="BB23" s="6" t="n"/>
      <c r="BC23" s="6" t="n"/>
      <c r="BD23" s="6" t="n"/>
      <c r="BE23" s="6" t="n"/>
      <c r="BF23" s="6" t="n"/>
      <c r="BG23" s="6" t="n"/>
      <c r="BH23" s="6" t="n"/>
      <c r="BI23" s="6" t="n"/>
    </row>
    <row r="24" ht="15" customHeight="1">
      <c r="A24" s="6" t="n"/>
      <c r="C24" s="6" t="n"/>
      <c r="D24" s="6" t="n"/>
      <c r="E24" s="6" t="n"/>
      <c r="F24" s="6" t="n"/>
      <c r="G24" s="6" t="n"/>
      <c r="H24" s="6" t="n"/>
      <c r="I24" s="6" t="n"/>
      <c r="J24" s="6" t="n"/>
      <c r="K24" s="6" t="n"/>
      <c r="L24" s="6" t="n"/>
      <c r="M24" s="6" t="n"/>
      <c r="N24" s="6" t="n"/>
      <c r="O24" s="6" t="n"/>
      <c r="P24" s="6" t="n"/>
      <c r="Q24" s="6" t="n"/>
      <c r="R24" s="6" t="n"/>
      <c r="S24" s="32" t="n"/>
      <c r="T24" s="6" t="n"/>
      <c r="U24" s="6" t="n"/>
      <c r="V24" s="6" t="n"/>
      <c r="W24" s="6" t="n"/>
      <c r="X24" s="6" t="n"/>
      <c r="Y24" s="6" t="n"/>
      <c r="Z24" s="6" t="n"/>
      <c r="AA24" s="6" t="n"/>
      <c r="AB24" s="6" t="n"/>
      <c r="AC24" s="6" t="n"/>
      <c r="AD24" s="6" t="n"/>
      <c r="AF24" s="6" t="n"/>
      <c r="AH24" s="6" t="n"/>
      <c r="AI24" s="6" t="n"/>
      <c r="AJ24" s="6" t="n"/>
      <c r="AK24" s="6" t="n"/>
      <c r="AL24" s="6" t="n"/>
      <c r="AM24" s="6" t="n"/>
      <c r="AN24" s="6" t="n"/>
      <c r="AO24" s="6" t="n"/>
      <c r="AP24" s="6" t="n"/>
      <c r="AQ24" s="6" t="n"/>
      <c r="AR24" s="6" t="n"/>
      <c r="AS24" s="6" t="n"/>
      <c r="AT24" s="6" t="n"/>
      <c r="AU24" s="6" t="n"/>
      <c r="AV24" s="6" t="n"/>
      <c r="AW24" s="6" t="n"/>
      <c r="AX24" s="6" t="n"/>
      <c r="AY24" s="6" t="n"/>
      <c r="AZ24" s="6" t="n"/>
      <c r="BA24" s="6" t="n"/>
      <c r="BB24" s="6" t="n"/>
      <c r="BC24" s="6" t="n"/>
      <c r="BD24" s="6" t="n"/>
      <c r="BE24" s="6" t="n"/>
      <c r="BF24" s="6" t="n"/>
      <c r="BG24" s="6" t="n"/>
      <c r="BH24" s="6" t="n"/>
      <c r="BI24" s="6" t="n"/>
    </row>
    <row r="25" ht="15" customHeight="1">
      <c r="A25" s="6" t="n"/>
      <c r="C25" s="6" t="n"/>
      <c r="D25" s="6" t="n"/>
      <c r="E25" s="6" t="n"/>
      <c r="F25" s="6" t="n"/>
      <c r="G25" s="6" t="n"/>
      <c r="H25" s="6" t="n"/>
      <c r="I25" s="6" t="n"/>
      <c r="J25" s="6" t="n"/>
      <c r="K25" s="6" t="n"/>
      <c r="L25" s="6" t="n"/>
      <c r="M25" s="6" t="n"/>
      <c r="N25" s="6" t="n"/>
      <c r="O25" s="6" t="n"/>
      <c r="P25" s="6" t="n"/>
      <c r="Q25" s="6" t="n"/>
      <c r="R25" s="6" t="n"/>
      <c r="S25" s="32" t="n"/>
      <c r="T25" s="6" t="n"/>
      <c r="U25" s="6" t="n"/>
      <c r="V25" s="6" t="n"/>
      <c r="W25" s="6" t="n"/>
      <c r="X25" s="6" t="n"/>
      <c r="Y25" s="6" t="n"/>
      <c r="Z25" s="6" t="n"/>
      <c r="AA25" s="6" t="n"/>
      <c r="AB25" s="6" t="n"/>
      <c r="AC25" s="6" t="n"/>
      <c r="AD25" s="6" t="n"/>
      <c r="AF25" s="6" t="n"/>
      <c r="AH25" s="6" t="n"/>
      <c r="AI25" s="6" t="n"/>
      <c r="AJ25" s="6" t="n"/>
      <c r="AK25" s="6" t="n"/>
      <c r="AL25" s="6" t="n"/>
      <c r="AM25" s="6" t="n"/>
      <c r="AN25" s="6" t="n"/>
      <c r="AO25" s="6" t="n"/>
      <c r="AP25" s="6" t="n"/>
      <c r="AQ25" s="6" t="n"/>
      <c r="AR25" s="6" t="n"/>
      <c r="AS25" s="6" t="n"/>
      <c r="AT25" s="6" t="n"/>
      <c r="AU25" s="6" t="n"/>
      <c r="AV25" s="6" t="n"/>
      <c r="AW25" s="6" t="n"/>
      <c r="AX25" s="6" t="n"/>
      <c r="AY25" s="6" t="n"/>
      <c r="AZ25" s="6" t="n"/>
      <c r="BA25" s="6" t="n"/>
      <c r="BB25" s="6" t="n"/>
      <c r="BC25" s="6" t="n"/>
      <c r="BD25" s="6" t="n"/>
      <c r="BE25" s="6" t="n"/>
      <c r="BF25" s="6" t="n"/>
      <c r="BG25" s="6" t="n"/>
      <c r="BH25" s="6" t="n"/>
      <c r="BI25" s="6" t="n"/>
    </row>
    <row r="26" ht="15" customHeight="1">
      <c r="A26" s="6" t="n"/>
      <c r="C26" s="6" t="n"/>
      <c r="D26" s="6" t="n"/>
      <c r="E26" s="6" t="n"/>
      <c r="F26" s="6" t="n"/>
      <c r="G26" s="6" t="n"/>
      <c r="H26" s="6" t="n"/>
      <c r="I26" s="6" t="n"/>
      <c r="J26" s="6" t="n"/>
      <c r="K26" s="6" t="n"/>
      <c r="L26" s="6" t="n"/>
      <c r="M26" s="6" t="n"/>
      <c r="N26" s="6" t="n"/>
      <c r="O26" s="6" t="n"/>
      <c r="P26" s="6" t="n"/>
      <c r="Q26" s="6" t="n"/>
      <c r="R26" s="6" t="n"/>
      <c r="S26" s="32" t="n"/>
      <c r="T26" s="6" t="n"/>
      <c r="U26" s="6" t="n"/>
      <c r="V26" s="6" t="n"/>
      <c r="W26" s="6" t="n"/>
      <c r="X26" s="6" t="n"/>
      <c r="Y26" s="6" t="n"/>
      <c r="Z26" s="6" t="n"/>
      <c r="AA26" s="6" t="n"/>
      <c r="AB26" s="6" t="n"/>
      <c r="AC26" s="6" t="n"/>
      <c r="AD26" s="6" t="n"/>
      <c r="AF26" s="6" t="n"/>
      <c r="AH26" s="6" t="n"/>
      <c r="AI26" s="6" t="n"/>
      <c r="AJ26" s="6" t="n"/>
      <c r="AK26" s="6" t="n"/>
      <c r="AL26" s="6" t="n"/>
      <c r="AM26" s="6" t="n"/>
      <c r="AN26" s="6" t="n"/>
      <c r="AO26" s="6" t="n"/>
      <c r="AP26" s="6" t="n"/>
      <c r="AQ26" s="6" t="n"/>
      <c r="AR26" s="6" t="n"/>
      <c r="AS26" s="6" t="n"/>
      <c r="AT26" s="6" t="n"/>
      <c r="AU26" s="6" t="n"/>
      <c r="AV26" s="6" t="n"/>
      <c r="AW26" s="6" t="n"/>
      <c r="AX26" s="6" t="n"/>
      <c r="AY26" s="6" t="n"/>
      <c r="AZ26" s="6" t="n"/>
      <c r="BA26" s="6" t="n"/>
      <c r="BB26" s="6" t="n"/>
      <c r="BC26" s="6" t="n"/>
      <c r="BD26" s="6" t="n"/>
      <c r="BE26" s="6" t="n"/>
      <c r="BF26" s="6" t="n"/>
      <c r="BG26" s="6" t="n"/>
      <c r="BH26" s="6" t="n"/>
      <c r="BI26" s="6" t="n"/>
    </row>
    <row r="27" ht="15" customHeight="1">
      <c r="A27" s="6" t="n"/>
      <c r="C27" s="6" t="n"/>
      <c r="D27" s="6" t="n"/>
      <c r="E27" s="6" t="n"/>
      <c r="F27" s="6" t="n"/>
      <c r="G27" s="6" t="n"/>
      <c r="H27" s="6" t="n"/>
      <c r="I27" s="6" t="n"/>
      <c r="J27" s="6" t="n"/>
      <c r="K27" s="6" t="n"/>
      <c r="L27" s="6" t="n"/>
      <c r="M27" s="6" t="n"/>
      <c r="N27" s="6" t="n"/>
      <c r="O27" s="6" t="n"/>
      <c r="P27" s="6" t="n"/>
      <c r="Q27" s="6" t="n"/>
      <c r="R27" s="6" t="n"/>
      <c r="S27" s="32" t="n"/>
      <c r="T27" s="6" t="n"/>
      <c r="U27" s="6" t="n"/>
      <c r="V27" s="6" t="n"/>
      <c r="W27" s="6" t="n"/>
      <c r="X27" s="6" t="n"/>
      <c r="Y27" s="6" t="n"/>
      <c r="Z27" s="6" t="n"/>
      <c r="AA27" s="6" t="n"/>
      <c r="AB27" s="6" t="n"/>
      <c r="AC27" s="6" t="n"/>
      <c r="AD27" s="6" t="n"/>
      <c r="AF27" s="6" t="n"/>
      <c r="AH27" s="6" t="n"/>
      <c r="AI27" s="6" t="n"/>
      <c r="AJ27" s="6" t="n"/>
      <c r="AK27" s="6" t="n"/>
      <c r="AL27" s="6" t="n"/>
      <c r="AM27" s="6" t="n"/>
      <c r="AN27" s="6" t="n"/>
      <c r="AO27" s="6" t="n"/>
      <c r="AP27" s="6" t="n"/>
      <c r="AQ27" s="6" t="n"/>
      <c r="AR27" s="6" t="n"/>
      <c r="AS27" s="6" t="n"/>
      <c r="AT27" s="6" t="n"/>
      <c r="AU27" s="6" t="n"/>
      <c r="AV27" s="6" t="n"/>
      <c r="AW27" s="6" t="n"/>
      <c r="AX27" s="6" t="n"/>
      <c r="AY27" s="6" t="n"/>
      <c r="AZ27" s="6" t="n"/>
      <c r="BA27" s="6" t="n"/>
      <c r="BB27" s="6" t="n"/>
      <c r="BC27" s="6" t="n"/>
      <c r="BD27" s="6" t="n"/>
      <c r="BE27" s="6" t="n"/>
      <c r="BF27" s="6" t="n"/>
      <c r="BG27" s="6" t="n"/>
      <c r="BH27" s="6" t="n"/>
      <c r="BI27" s="6" t="n"/>
    </row>
    <row r="28" ht="15" customHeight="1">
      <c r="A28" s="6" t="n"/>
      <c r="C28" s="6" t="n"/>
      <c r="D28" s="6" t="n"/>
      <c r="E28" s="6" t="n"/>
      <c r="F28" s="6" t="n"/>
      <c r="G28" s="6" t="n"/>
      <c r="H28" s="6" t="n"/>
      <c r="I28" s="6" t="n"/>
      <c r="J28" s="6" t="n"/>
      <c r="K28" s="6" t="n"/>
      <c r="L28" s="6" t="n"/>
      <c r="M28" s="6" t="n"/>
      <c r="N28" s="6" t="n"/>
      <c r="O28" s="6" t="n"/>
      <c r="P28" s="6" t="n"/>
      <c r="Q28" s="6" t="n"/>
      <c r="R28" s="6" t="n"/>
      <c r="S28" s="32" t="n"/>
      <c r="T28" s="6" t="n"/>
      <c r="U28" s="6" t="n"/>
      <c r="V28" s="6" t="n"/>
      <c r="W28" s="6" t="n"/>
      <c r="X28" s="6" t="n"/>
      <c r="Y28" s="6" t="n"/>
      <c r="Z28" s="6" t="n"/>
      <c r="AA28" s="6" t="n"/>
      <c r="AB28" s="6" t="n"/>
      <c r="AC28" s="6" t="n"/>
      <c r="AD28" s="6" t="n"/>
      <c r="AF28" s="6" t="n"/>
      <c r="AH28" s="6" t="n"/>
      <c r="AI28" s="6" t="n"/>
      <c r="AJ28" s="6" t="n"/>
      <c r="AK28" s="6" t="n"/>
      <c r="AL28" s="6" t="n"/>
      <c r="AM28" s="6" t="n"/>
      <c r="AN28" s="6" t="n"/>
      <c r="AO28" s="6" t="n"/>
      <c r="AP28" s="6" t="n"/>
      <c r="AQ28" s="6" t="n"/>
      <c r="AR28" s="6" t="n"/>
      <c r="AS28" s="6" t="n"/>
      <c r="AT28" s="6" t="n"/>
      <c r="AU28" s="6" t="n"/>
      <c r="AV28" s="6" t="n"/>
      <c r="AW28" s="6" t="n"/>
      <c r="AX28" s="6" t="n"/>
      <c r="AY28" s="6" t="n"/>
      <c r="AZ28" s="6" t="n"/>
      <c r="BA28" s="6" t="n"/>
      <c r="BB28" s="6" t="n"/>
      <c r="BC28" s="6" t="n"/>
      <c r="BD28" s="6" t="n"/>
      <c r="BE28" s="6" t="n"/>
      <c r="BF28" s="6" t="n"/>
      <c r="BG28" s="6" t="n"/>
      <c r="BH28" s="6" t="n"/>
      <c r="BI28" s="6" t="n"/>
    </row>
    <row r="29" ht="15" customHeight="1">
      <c r="A29" s="6" t="n"/>
      <c r="C29" s="6" t="n"/>
      <c r="D29" s="6" t="n"/>
      <c r="E29" s="6" t="n"/>
      <c r="F29" s="6" t="n"/>
      <c r="G29" s="6" t="n"/>
      <c r="H29" s="6" t="n"/>
      <c r="I29" s="6" t="n"/>
      <c r="J29" s="6" t="n"/>
      <c r="K29" s="6" t="n"/>
      <c r="L29" s="6" t="n"/>
      <c r="M29" s="6" t="n"/>
      <c r="N29" s="6" t="n"/>
      <c r="O29" s="6" t="n"/>
      <c r="P29" s="6" t="n"/>
      <c r="Q29" s="6" t="n"/>
      <c r="R29" s="6" t="n"/>
      <c r="S29" s="32" t="n"/>
      <c r="T29" s="6" t="n"/>
      <c r="U29" s="6" t="n"/>
      <c r="V29" s="6" t="n"/>
      <c r="W29" s="6" t="n"/>
      <c r="X29" s="6" t="n"/>
      <c r="Y29" s="6" t="n"/>
      <c r="Z29" s="6" t="n"/>
      <c r="AA29" s="6" t="n"/>
      <c r="AB29" s="6" t="n"/>
      <c r="AC29" s="6" t="n"/>
      <c r="AD29" s="6" t="n"/>
      <c r="AF29" s="6" t="n"/>
      <c r="AH29" s="6" t="n"/>
      <c r="AI29" s="6" t="n"/>
      <c r="AJ29" s="6" t="n"/>
      <c r="AK29" s="6" t="n"/>
      <c r="AL29" s="6" t="n"/>
      <c r="AM29" s="6" t="n"/>
      <c r="AN29" s="6" t="n"/>
      <c r="AO29" s="6" t="n"/>
      <c r="AP29" s="6" t="n"/>
      <c r="AQ29" s="6" t="n"/>
      <c r="AR29" s="6" t="n"/>
      <c r="AS29" s="6" t="n"/>
      <c r="AT29" s="6" t="n"/>
      <c r="AU29" s="6" t="n"/>
      <c r="AV29" s="6" t="n"/>
      <c r="AW29" s="6" t="n"/>
      <c r="AX29" s="6" t="n"/>
      <c r="AY29" s="6" t="n"/>
      <c r="AZ29" s="6" t="n"/>
      <c r="BA29" s="6" t="n"/>
      <c r="BB29" s="6" t="n"/>
      <c r="BC29" s="6" t="n"/>
      <c r="BD29" s="6" t="n"/>
      <c r="BE29" s="6" t="n"/>
      <c r="BF29" s="6" t="n"/>
      <c r="BG29" s="6" t="n"/>
      <c r="BH29" s="6" t="n"/>
      <c r="BI29" s="6" t="n"/>
    </row>
    <row r="30" ht="15" customHeight="1">
      <c r="A30" s="6" t="n"/>
      <c r="C30" s="6" t="n"/>
      <c r="D30" s="6" t="n"/>
      <c r="E30" s="6" t="n"/>
      <c r="F30" s="6" t="n"/>
      <c r="G30" s="6" t="n"/>
      <c r="H30" s="6" t="n"/>
      <c r="I30" s="6" t="n"/>
      <c r="J30" s="6" t="n"/>
      <c r="K30" s="6" t="n"/>
      <c r="L30" s="6" t="n"/>
      <c r="M30" s="6" t="n"/>
      <c r="N30" s="6" t="n"/>
      <c r="O30" s="6" t="n"/>
      <c r="P30" s="6" t="n"/>
      <c r="Q30" s="6" t="n"/>
      <c r="R30" s="6" t="n"/>
      <c r="S30" s="32" t="n"/>
      <c r="T30" s="6" t="n"/>
      <c r="U30" s="6" t="n"/>
      <c r="V30" s="6" t="n"/>
      <c r="W30" s="6" t="n"/>
      <c r="X30" s="6" t="n"/>
      <c r="Y30" s="6" t="n"/>
      <c r="Z30" s="6" t="n"/>
      <c r="AA30" s="6" t="n"/>
      <c r="AB30" s="6" t="n"/>
      <c r="AC30" s="6" t="n"/>
      <c r="AD30" s="6" t="n"/>
      <c r="AF30" s="6" t="n"/>
      <c r="AH30" s="6" t="n"/>
      <c r="AI30" s="6" t="n"/>
      <c r="AJ30" s="6" t="n"/>
      <c r="AK30" s="6" t="n"/>
      <c r="AL30" s="6" t="n"/>
      <c r="AM30" s="6" t="n"/>
      <c r="AN30" s="6" t="n"/>
      <c r="AO30" s="6" t="n"/>
      <c r="AP30" s="6" t="n"/>
      <c r="AQ30" s="6" t="n"/>
      <c r="AR30" s="6" t="n"/>
      <c r="AS30" s="6" t="n"/>
      <c r="AT30" s="6" t="n"/>
      <c r="AU30" s="6" t="n"/>
      <c r="AV30" s="6" t="n"/>
      <c r="AW30" s="6" t="n"/>
      <c r="AX30" s="6" t="n"/>
      <c r="AY30" s="6" t="n"/>
      <c r="AZ30" s="6" t="n"/>
      <c r="BA30" s="6" t="n"/>
      <c r="BB30" s="6" t="n"/>
      <c r="BC30" s="6" t="n"/>
      <c r="BD30" s="6" t="n"/>
      <c r="BE30" s="6" t="n"/>
      <c r="BF30" s="6" t="n"/>
      <c r="BG30" s="6" t="n"/>
      <c r="BH30" s="6" t="n"/>
      <c r="BI30" s="6" t="n"/>
    </row>
    <row r="31" ht="15" customHeight="1">
      <c r="A31" s="6" t="n"/>
      <c r="C31" s="6" t="n"/>
      <c r="D31" s="6" t="n"/>
      <c r="E31" s="6" t="n"/>
      <c r="F31" s="6" t="n"/>
      <c r="G31" s="6" t="n"/>
      <c r="H31" s="6" t="n"/>
      <c r="I31" s="6" t="n"/>
      <c r="J31" s="6" t="n"/>
      <c r="K31" s="6" t="n"/>
      <c r="L31" s="6" t="n"/>
      <c r="M31" s="6" t="n"/>
      <c r="N31" s="6" t="n"/>
      <c r="O31" s="6" t="n"/>
      <c r="P31" s="6" t="n"/>
      <c r="Q31" s="6" t="n"/>
      <c r="R31" s="6" t="n"/>
      <c r="S31" s="32" t="n"/>
      <c r="T31" s="6" t="n"/>
      <c r="U31" s="6" t="n"/>
      <c r="V31" s="6" t="n"/>
      <c r="W31" s="6" t="n"/>
      <c r="X31" s="6" t="n"/>
      <c r="Y31" s="6" t="n"/>
      <c r="Z31" s="6" t="n"/>
      <c r="AA31" s="6" t="n"/>
      <c r="AB31" s="6" t="n"/>
      <c r="AC31" s="6" t="n"/>
      <c r="AD31" s="6" t="n"/>
      <c r="AF31" s="6" t="n"/>
      <c r="AH31" s="6" t="n"/>
      <c r="AI31" s="6" t="n"/>
      <c r="AJ31" s="6" t="n"/>
      <c r="AK31" s="6" t="n"/>
      <c r="AL31" s="6" t="n"/>
      <c r="AM31" s="6" t="n"/>
      <c r="AN31" s="6" t="n"/>
      <c r="AO31" s="6" t="n"/>
      <c r="AP31" s="6" t="n"/>
      <c r="AQ31" s="6" t="n"/>
      <c r="AR31" s="6" t="n"/>
      <c r="AS31" s="6" t="n"/>
      <c r="AT31" s="6" t="n"/>
      <c r="AU31" s="6" t="n"/>
      <c r="AV31" s="6" t="n"/>
      <c r="AW31" s="6" t="n"/>
      <c r="AX31" s="6" t="n"/>
      <c r="AY31" s="6" t="n"/>
      <c r="AZ31" s="6" t="n"/>
      <c r="BA31" s="6" t="n"/>
      <c r="BB31" s="6" t="n"/>
      <c r="BC31" s="6" t="n"/>
      <c r="BD31" s="6" t="n"/>
      <c r="BE31" s="6" t="n"/>
      <c r="BF31" s="6" t="n"/>
      <c r="BG31" s="6" t="n"/>
      <c r="BH31" s="6" t="n"/>
      <c r="BI31" s="6" t="n"/>
    </row>
    <row r="32" ht="15" customHeight="1">
      <c r="A32" s="6" t="n"/>
      <c r="C32" s="6" t="n"/>
      <c r="D32" s="6" t="n"/>
      <c r="E32" s="6" t="n"/>
      <c r="F32" s="6" t="n"/>
      <c r="G32" s="6" t="n"/>
      <c r="H32" s="6" t="n"/>
      <c r="I32" s="6" t="n"/>
      <c r="J32" s="6" t="n"/>
      <c r="K32" s="6" t="n"/>
      <c r="L32" s="6" t="n"/>
      <c r="M32" s="6" t="n"/>
      <c r="N32" s="6" t="n"/>
      <c r="O32" s="6" t="n"/>
      <c r="P32" s="6" t="n"/>
      <c r="Q32" s="6" t="n"/>
      <c r="R32" s="6" t="n"/>
      <c r="S32" s="32" t="n"/>
      <c r="T32" s="6" t="n"/>
      <c r="U32" s="6" t="n"/>
      <c r="V32" s="6" t="n"/>
      <c r="W32" s="6" t="n"/>
      <c r="X32" s="6" t="n"/>
      <c r="Y32" s="6" t="n"/>
      <c r="Z32" s="6" t="n"/>
      <c r="AA32" s="6" t="n"/>
      <c r="AB32" s="6" t="n"/>
      <c r="AC32" s="6" t="n"/>
      <c r="AD32" s="6" t="n"/>
      <c r="AF32" s="6" t="n"/>
      <c r="AH32" s="6" t="n"/>
      <c r="AI32" s="6" t="n"/>
      <c r="AJ32" s="6" t="n"/>
      <c r="AK32" s="6" t="n"/>
      <c r="AL32" s="6" t="n"/>
      <c r="AM32" s="6" t="n"/>
      <c r="AN32" s="6" t="n"/>
      <c r="AO32" s="6" t="n"/>
      <c r="AP32" s="6" t="n"/>
      <c r="AQ32" s="6" t="n"/>
      <c r="AR32" s="6" t="n"/>
      <c r="AS32" s="6" t="n"/>
      <c r="AT32" s="6" t="n"/>
      <c r="AU32" s="6" t="n"/>
      <c r="AV32" s="6" t="n"/>
      <c r="AW32" s="6" t="n"/>
      <c r="AX32" s="6" t="n"/>
      <c r="AY32" s="6" t="n"/>
      <c r="AZ32" s="6" t="n"/>
      <c r="BA32" s="6" t="n"/>
      <c r="BB32" s="6" t="n"/>
      <c r="BC32" s="6" t="n"/>
      <c r="BD32" s="6" t="n"/>
      <c r="BE32" s="6" t="n"/>
      <c r="BF32" s="6" t="n"/>
      <c r="BG32" s="6" t="n"/>
      <c r="BH32" s="6" t="n"/>
      <c r="BI32" s="6" t="n"/>
    </row>
    <row r="33" ht="15" customHeight="1">
      <c r="A33" s="6" t="n"/>
      <c r="C33" s="6" t="n"/>
      <c r="D33" s="100" t="inlineStr">
        <is>
          <t>HISTORICO DE PONTUAÇÃO DO PROJETO POR PERFIL</t>
        </is>
      </c>
      <c r="T33" s="6" t="n"/>
      <c r="U33" s="6" t="n"/>
      <c r="V33" s="6" t="n"/>
      <c r="W33" s="6" t="n"/>
      <c r="X33" s="6" t="n"/>
      <c r="Y33" s="6" t="n"/>
      <c r="Z33" s="6" t="n"/>
      <c r="AA33" s="6" t="n"/>
      <c r="AB33" s="6" t="n"/>
      <c r="AC33" s="6" t="n"/>
      <c r="AD33" s="6" t="n"/>
      <c r="AF33" s="6" t="n"/>
      <c r="AH33" s="6" t="n"/>
      <c r="AI33" s="6" t="n"/>
      <c r="AJ33" s="6" t="n"/>
      <c r="AK33" s="6" t="n"/>
      <c r="AL33" s="6" t="n"/>
      <c r="AM33" s="6" t="n"/>
      <c r="AN33" s="6" t="n"/>
      <c r="AO33" s="6" t="n"/>
      <c r="AP33" s="6" t="n"/>
      <c r="AQ33" s="6" t="n"/>
      <c r="AR33" s="6" t="n"/>
      <c r="AS33" s="6" t="n"/>
      <c r="AT33" s="6" t="n"/>
      <c r="AU33" s="6" t="n"/>
      <c r="AV33" s="6" t="n"/>
      <c r="AW33" s="6" t="n"/>
      <c r="AX33" s="6" t="n"/>
      <c r="AY33" s="6" t="n"/>
      <c r="AZ33" s="6" t="n"/>
      <c r="BA33" s="6" t="n"/>
      <c r="BB33" s="6" t="n"/>
      <c r="BC33" s="6" t="n"/>
      <c r="BD33" s="6" t="n"/>
      <c r="BE33" s="6" t="n"/>
      <c r="BF33" s="6" t="n"/>
      <c r="BG33" s="6" t="n"/>
      <c r="BH33" s="6" t="n"/>
      <c r="BI33" s="6" t="n"/>
    </row>
    <row r="34" ht="15" customHeight="1">
      <c r="A34" s="6" t="n"/>
      <c r="C34" s="6" t="n"/>
      <c r="D34" s="20" t="n"/>
      <c r="E34" s="19" t="n"/>
      <c r="F34" s="19" t="n"/>
      <c r="G34" s="20" t="n"/>
      <c r="H34" s="23" t="n"/>
      <c r="I34" s="23" t="n"/>
      <c r="J34" s="23" t="n"/>
      <c r="K34" s="23" t="n"/>
      <c r="L34" s="23" t="n"/>
      <c r="M34" s="23" t="n"/>
      <c r="N34" s="23" t="n"/>
      <c r="O34" s="23" t="n"/>
      <c r="P34" s="23" t="n"/>
      <c r="Q34" s="23" t="n"/>
      <c r="R34" s="23" t="n"/>
      <c r="S34" s="23" t="n"/>
      <c r="T34" s="6" t="n"/>
      <c r="U34" s="6" t="n"/>
      <c r="V34" s="6" t="n"/>
      <c r="W34" s="6" t="n"/>
      <c r="X34" s="6" t="n"/>
      <c r="Y34" s="6" t="n"/>
      <c r="Z34" s="6" t="n"/>
      <c r="AA34" s="6" t="n"/>
      <c r="AB34" s="6" t="n"/>
      <c r="AC34" s="6" t="n"/>
      <c r="AD34" s="6" t="n"/>
      <c r="AF34" s="6" t="n"/>
      <c r="AH34" s="6" t="n"/>
      <c r="AI34" s="6" t="n"/>
      <c r="AJ34" s="6" t="n"/>
      <c r="AK34" s="6" t="n"/>
      <c r="AL34" s="6" t="n"/>
      <c r="AM34" s="6" t="n"/>
      <c r="AN34" s="6" t="n"/>
      <c r="AO34" s="6" t="n"/>
      <c r="AP34" s="6" t="n"/>
      <c r="AQ34" s="6" t="n"/>
      <c r="AR34" s="6" t="n"/>
      <c r="AS34" s="6" t="n"/>
      <c r="AT34" s="6" t="n"/>
      <c r="AU34" s="6" t="n"/>
      <c r="AV34" s="6" t="n"/>
      <c r="AW34" s="6" t="n"/>
      <c r="AX34" s="6" t="n"/>
      <c r="AY34" s="6" t="n"/>
      <c r="AZ34" s="6" t="n"/>
      <c r="BA34" s="6" t="n"/>
      <c r="BB34" s="6" t="n"/>
      <c r="BC34" s="6" t="n"/>
      <c r="BD34" s="6" t="n"/>
      <c r="BE34" s="6" t="n"/>
      <c r="BF34" s="6" t="n"/>
      <c r="BG34" s="6" t="n"/>
      <c r="BH34" s="6" t="n"/>
      <c r="BI34" s="6" t="n"/>
    </row>
    <row r="35" ht="47.25" customHeight="1">
      <c r="A35" s="6" t="n"/>
      <c r="C35" s="6" t="n"/>
      <c r="D35" s="21" t="inlineStr">
        <is>
          <t>Média de storypoints por perfil</t>
        </is>
      </c>
      <c r="E35" s="19" t="n"/>
      <c r="F35" s="19" t="n"/>
      <c r="G35" s="20">
        <f>gp_Plann_Projeto!A1</f>
        <v/>
      </c>
      <c r="H35" s="72">
        <f>gp_Plann_Projeto!B1</f>
        <v/>
      </c>
      <c r="I35" s="72">
        <f>gp_Plann_Projeto!C1</f>
        <v/>
      </c>
      <c r="J35" s="72">
        <f>gp_Plann_Projeto!D1</f>
        <v/>
      </c>
      <c r="K35" s="72">
        <f>gp_Plann_Projeto!E1</f>
        <v/>
      </c>
      <c r="L35" s="72">
        <f>gp_Plann_Projeto!F1</f>
        <v/>
      </c>
      <c r="M35" s="72">
        <f>gp_Plann_Projeto!G1</f>
        <v/>
      </c>
      <c r="N35" s="72">
        <f>gp_Plann_Projeto!H1</f>
        <v/>
      </c>
      <c r="O35" s="72">
        <f>gp_Plann_Projeto!I1</f>
        <v/>
      </c>
      <c r="P35" s="73" t="n"/>
      <c r="Q35" s="73" t="n"/>
      <c r="R35" s="73" t="n"/>
      <c r="S35" s="73" t="n"/>
      <c r="T35" s="6" t="n"/>
      <c r="U35" s="6" t="n"/>
      <c r="V35" s="6" t="n"/>
      <c r="W35" s="6" t="n"/>
      <c r="X35" s="6" t="n"/>
      <c r="Y35" s="6" t="n"/>
      <c r="Z35" s="6" t="n"/>
      <c r="AA35" s="6" t="n"/>
      <c r="AB35" s="6" t="n"/>
      <c r="AC35" s="6" t="n"/>
      <c r="AD35" s="6" t="n"/>
      <c r="AF35" s="6" t="n"/>
      <c r="AH35" s="6" t="n"/>
      <c r="AI35" s="6" t="n"/>
      <c r="AJ35" s="6" t="n"/>
      <c r="AK35" s="6" t="n"/>
      <c r="AL35" s="6" t="n"/>
      <c r="AM35" s="6" t="n"/>
      <c r="AN35" s="6" t="n"/>
      <c r="AO35" s="6" t="n"/>
      <c r="AP35" s="6" t="n"/>
      <c r="AQ35" s="6" t="n"/>
      <c r="AR35" s="6" t="n"/>
      <c r="AS35" s="6" t="n"/>
      <c r="AT35" s="6" t="n"/>
      <c r="AU35" s="6" t="n"/>
      <c r="AV35" s="6" t="n"/>
      <c r="AW35" s="6" t="n"/>
      <c r="AX35" s="6" t="n"/>
      <c r="AY35" s="6" t="n"/>
      <c r="AZ35" s="6" t="n"/>
      <c r="BA35" s="6" t="n"/>
      <c r="BB35" s="6" t="n"/>
      <c r="BC35" s="6" t="n"/>
      <c r="BD35" s="6" t="n"/>
      <c r="BE35" s="6" t="n"/>
      <c r="BF35" s="6" t="n"/>
      <c r="BG35" s="6" t="n"/>
      <c r="BH35" s="6" t="n"/>
      <c r="BI35" s="6" t="n"/>
    </row>
    <row r="36" ht="15" customHeight="1">
      <c r="A36" s="6" t="n"/>
      <c r="C36" s="6" t="n"/>
      <c r="D36" s="31">
        <f>AVERAGE(H36:O36)</f>
        <v/>
      </c>
      <c r="E36" s="16" t="n"/>
      <c r="F36" s="16" t="n"/>
      <c r="G36" s="17">
        <f>gp_Plann_Projeto!A2</f>
        <v/>
      </c>
      <c r="H36" s="25">
        <f>gp_Plann_Projeto!B2</f>
        <v/>
      </c>
      <c r="I36" s="25">
        <f>gp_Plann_Projeto!C2</f>
        <v/>
      </c>
      <c r="J36" s="25">
        <f>gp_Plann_Projeto!D2</f>
        <v/>
      </c>
      <c r="K36" s="25">
        <f>gp_Plann_Projeto!E2</f>
        <v/>
      </c>
      <c r="L36" s="25">
        <f>gp_Plann_Projeto!F2</f>
        <v/>
      </c>
      <c r="M36" s="25">
        <f>gp_Plann_Projeto!G2</f>
        <v/>
      </c>
      <c r="N36" s="25">
        <f>gp_Plann_Projeto!H2</f>
        <v/>
      </c>
      <c r="O36" s="25">
        <f>gp_Plann_Projeto!I2</f>
        <v/>
      </c>
      <c r="P36" s="25">
        <f>gp_Plann_Projeto!J2</f>
        <v/>
      </c>
      <c r="Q36" s="25">
        <f>gp_Plann_Projeto!K2</f>
        <v/>
      </c>
      <c r="R36" s="25">
        <f>gp_Plann_Projeto!L2</f>
        <v/>
      </c>
      <c r="S36" s="25">
        <f>gp_Plann_Projeto!M2</f>
        <v/>
      </c>
      <c r="T36" s="6" t="n"/>
      <c r="U36" s="6" t="n"/>
      <c r="V36" s="6" t="n"/>
      <c r="W36" s="6" t="n"/>
      <c r="X36" s="6" t="n"/>
      <c r="Y36" s="6" t="n"/>
      <c r="Z36" s="6" t="n"/>
      <c r="AA36" s="6" t="n"/>
      <c r="AB36" s="6" t="n"/>
      <c r="AC36" s="6" t="n"/>
      <c r="AD36" s="6" t="n"/>
      <c r="AF36" s="6" t="n"/>
      <c r="AH36" s="6" t="n"/>
      <c r="AI36" s="6" t="n"/>
      <c r="AJ36" s="6" t="n"/>
      <c r="AK36" s="6" t="n"/>
      <c r="AL36" s="6" t="n"/>
      <c r="AM36" s="6" t="n"/>
      <c r="AN36" s="6" t="n"/>
      <c r="AO36" s="6" t="n"/>
      <c r="AP36" s="6" t="n"/>
      <c r="AQ36" s="6" t="n"/>
      <c r="AR36" s="6" t="n"/>
      <c r="AS36" s="6" t="n"/>
      <c r="AT36" s="6" t="n"/>
      <c r="AU36" s="6" t="n"/>
      <c r="AV36" s="6" t="n"/>
      <c r="AW36" s="6" t="n"/>
      <c r="AX36" s="6" t="n"/>
      <c r="AY36" s="6" t="n"/>
      <c r="AZ36" s="6" t="n"/>
      <c r="BA36" s="6" t="n"/>
      <c r="BB36" s="6" t="n"/>
      <c r="BC36" s="6" t="n"/>
      <c r="BD36" s="6" t="n"/>
      <c r="BE36" s="6" t="n"/>
      <c r="BF36" s="6" t="n"/>
      <c r="BG36" s="6" t="n"/>
      <c r="BH36" s="6" t="n"/>
      <c r="BI36" s="6" t="n"/>
    </row>
    <row r="37" ht="15" customHeight="1">
      <c r="A37" s="6" t="n"/>
      <c r="C37" s="6" t="n"/>
      <c r="D37" s="31">
        <f>AVERAGE(H37:O37)</f>
        <v/>
      </c>
      <c r="E37" s="16" t="n"/>
      <c r="F37" s="16" t="n"/>
      <c r="G37" s="17">
        <f>gp_Plann_Projeto!A3</f>
        <v/>
      </c>
      <c r="H37" s="25">
        <f>gp_Plann_Projeto!B3</f>
        <v/>
      </c>
      <c r="I37" s="25">
        <f>gp_Plann_Projeto!C3</f>
        <v/>
      </c>
      <c r="J37" s="25">
        <f>gp_Plann_Projeto!D3</f>
        <v/>
      </c>
      <c r="K37" s="25">
        <f>gp_Plann_Projeto!E3</f>
        <v/>
      </c>
      <c r="L37" s="25">
        <f>gp_Plann_Projeto!F3</f>
        <v/>
      </c>
      <c r="M37" s="25">
        <f>gp_Plann_Projeto!G3</f>
        <v/>
      </c>
      <c r="N37" s="25">
        <f>gp_Plann_Projeto!H3</f>
        <v/>
      </c>
      <c r="O37" s="25">
        <f>gp_Plann_Projeto!I3</f>
        <v/>
      </c>
      <c r="P37" s="25">
        <f>gp_Plann_Projeto!J3</f>
        <v/>
      </c>
      <c r="Q37" s="25">
        <f>gp_Plann_Projeto!K3</f>
        <v/>
      </c>
      <c r="R37" s="25">
        <f>gp_Plann_Projeto!L3</f>
        <v/>
      </c>
      <c r="S37" s="25">
        <f>gp_Plann_Projeto!M3</f>
        <v/>
      </c>
      <c r="T37" s="6" t="n"/>
      <c r="U37" s="6" t="n"/>
      <c r="V37" s="6" t="n"/>
      <c r="W37" s="6" t="n"/>
      <c r="X37" s="6" t="n"/>
      <c r="Y37" s="6" t="n"/>
      <c r="Z37" s="6" t="n"/>
      <c r="AA37" s="6" t="n"/>
      <c r="AB37" s="6" t="n"/>
      <c r="AC37" s="6" t="n"/>
      <c r="AD37" s="6" t="n"/>
      <c r="AF37" s="6" t="n"/>
      <c r="AH37" s="6" t="n"/>
      <c r="AI37" s="6" t="n"/>
      <c r="AJ37" s="6" t="n"/>
      <c r="AK37" s="6" t="n"/>
      <c r="AL37" s="6" t="n"/>
      <c r="AM37" s="6" t="n"/>
      <c r="AN37" s="6" t="n"/>
      <c r="AO37" s="6" t="n"/>
      <c r="AP37" s="6" t="n"/>
      <c r="AQ37" s="6" t="n"/>
      <c r="AR37" s="6" t="n"/>
      <c r="AS37" s="6" t="n"/>
      <c r="AT37" s="6" t="n"/>
      <c r="AU37" s="6" t="n"/>
      <c r="AV37" s="6" t="n"/>
      <c r="AW37" s="6" t="n"/>
      <c r="AX37" s="6" t="n"/>
      <c r="AY37" s="6" t="n"/>
      <c r="AZ37" s="6" t="n"/>
      <c r="BA37" s="6" t="n"/>
      <c r="BB37" s="6" t="n"/>
      <c r="BC37" s="6" t="n"/>
      <c r="BD37" s="6" t="n"/>
      <c r="BE37" s="6" t="n"/>
      <c r="BF37" s="6" t="n"/>
      <c r="BG37" s="6" t="n"/>
      <c r="BH37" s="6" t="n"/>
      <c r="BI37" s="6" t="n"/>
    </row>
    <row r="38" ht="15" customHeight="1">
      <c r="A38" s="6" t="n"/>
      <c r="C38" s="6" t="n"/>
      <c r="D38" s="31">
        <f>AVERAGE(H38:O38)</f>
        <v/>
      </c>
      <c r="E38" s="16" t="n"/>
      <c r="F38" s="16" t="n"/>
      <c r="G38" s="17">
        <f>gp_Plann_Projeto!A4</f>
        <v/>
      </c>
      <c r="H38" s="25">
        <f>gp_Plann_Projeto!B4</f>
        <v/>
      </c>
      <c r="I38" s="25">
        <f>gp_Plann_Projeto!C4</f>
        <v/>
      </c>
      <c r="J38" s="25">
        <f>gp_Plann_Projeto!D4</f>
        <v/>
      </c>
      <c r="K38" s="25">
        <f>gp_Plann_Projeto!E4</f>
        <v/>
      </c>
      <c r="L38" s="25">
        <f>gp_Plann_Projeto!F4</f>
        <v/>
      </c>
      <c r="M38" s="25">
        <f>gp_Plann_Projeto!G4</f>
        <v/>
      </c>
      <c r="N38" s="25">
        <f>gp_Plann_Projeto!H4</f>
        <v/>
      </c>
      <c r="O38" s="25">
        <f>gp_Plann_Projeto!I4</f>
        <v/>
      </c>
      <c r="P38" s="25">
        <f>gp_Plann_Projeto!J4</f>
        <v/>
      </c>
      <c r="Q38" s="25">
        <f>gp_Plann_Projeto!K4</f>
        <v/>
      </c>
      <c r="R38" s="25">
        <f>gp_Plann_Projeto!L4</f>
        <v/>
      </c>
      <c r="S38" s="25">
        <f>gp_Plann_Projeto!M4</f>
        <v/>
      </c>
      <c r="T38" s="6" t="n"/>
      <c r="U38" s="6" t="n"/>
      <c r="V38" s="6" t="n"/>
      <c r="W38" s="6" t="n"/>
      <c r="X38" s="6" t="n"/>
      <c r="Y38" s="6" t="n"/>
      <c r="Z38" s="6" t="n"/>
      <c r="AA38" s="6" t="n"/>
      <c r="AB38" s="6" t="n"/>
      <c r="AC38" s="6" t="n"/>
      <c r="AD38" s="6" t="n"/>
      <c r="AF38" s="6" t="n"/>
      <c r="AH38" s="6" t="n"/>
      <c r="AI38" s="6" t="n"/>
      <c r="AJ38" s="6" t="n"/>
      <c r="AK38" s="6" t="n"/>
      <c r="AL38" s="6" t="n"/>
      <c r="AM38" s="6" t="n"/>
      <c r="AN38" s="6" t="n"/>
      <c r="AO38" s="6" t="n"/>
      <c r="AP38" s="6" t="n"/>
      <c r="AQ38" s="6" t="n"/>
      <c r="AR38" s="6" t="n"/>
      <c r="AS38" s="6" t="n"/>
      <c r="AT38" s="6" t="n"/>
      <c r="AU38" s="6" t="n"/>
      <c r="AV38" s="6" t="n"/>
      <c r="AW38" s="6" t="n"/>
      <c r="AX38" s="6" t="n"/>
      <c r="AY38" s="6" t="n"/>
      <c r="AZ38" s="6" t="n"/>
      <c r="BA38" s="6" t="n"/>
      <c r="BB38" s="6" t="n"/>
      <c r="BC38" s="6" t="n"/>
      <c r="BD38" s="6" t="n"/>
      <c r="BE38" s="6" t="n"/>
      <c r="BF38" s="6" t="n"/>
      <c r="BG38" s="6" t="n"/>
      <c r="BH38" s="6" t="n"/>
      <c r="BI38" s="6" t="n"/>
    </row>
    <row r="39" ht="15" customHeight="1">
      <c r="A39" s="6" t="n"/>
      <c r="C39" s="6" t="n"/>
      <c r="D39" s="31">
        <f>AVERAGE(H39:O39)</f>
        <v/>
      </c>
      <c r="E39" s="16" t="n"/>
      <c r="F39" s="16" t="n"/>
      <c r="G39" s="17">
        <f>gp_Plann_Projeto!A5</f>
        <v/>
      </c>
      <c r="H39" s="25">
        <f>gp_Plann_Projeto!B5</f>
        <v/>
      </c>
      <c r="I39" s="25">
        <f>gp_Plann_Projeto!C5</f>
        <v/>
      </c>
      <c r="J39" s="25">
        <f>gp_Plann_Projeto!D5</f>
        <v/>
      </c>
      <c r="K39" s="25">
        <f>gp_Plann_Projeto!E5</f>
        <v/>
      </c>
      <c r="L39" s="25">
        <f>gp_Plann_Projeto!F5</f>
        <v/>
      </c>
      <c r="M39" s="25">
        <f>gp_Plann_Projeto!G5</f>
        <v/>
      </c>
      <c r="N39" s="25">
        <f>gp_Plann_Projeto!H5</f>
        <v/>
      </c>
      <c r="O39" s="25">
        <f>gp_Plann_Projeto!I5</f>
        <v/>
      </c>
      <c r="P39" s="25">
        <f>gp_Plann_Projeto!J5</f>
        <v/>
      </c>
      <c r="Q39" s="25">
        <f>gp_Plann_Projeto!K5</f>
        <v/>
      </c>
      <c r="R39" s="25">
        <f>gp_Plann_Projeto!L5</f>
        <v/>
      </c>
      <c r="S39" s="25">
        <f>gp_Plann_Projeto!M5</f>
        <v/>
      </c>
      <c r="T39" s="6" t="n"/>
      <c r="U39" s="6" t="n"/>
      <c r="V39" s="6" t="n"/>
      <c r="W39" s="6" t="n"/>
      <c r="X39" s="6" t="n"/>
      <c r="Y39" s="6" t="n"/>
      <c r="Z39" s="6" t="n"/>
      <c r="AA39" s="6" t="n"/>
      <c r="AB39" s="6" t="n"/>
      <c r="AC39" s="6" t="n"/>
      <c r="AD39" s="6" t="n"/>
      <c r="AF39" s="6" t="n"/>
      <c r="AH39" s="6" t="n"/>
      <c r="AI39" s="6" t="n"/>
      <c r="AJ39" s="6" t="n"/>
      <c r="AK39" s="6" t="n"/>
      <c r="AL39" s="6" t="n"/>
      <c r="AM39" s="6" t="n"/>
      <c r="AN39" s="6" t="n"/>
      <c r="AO39" s="6" t="n"/>
      <c r="AP39" s="6" t="n"/>
      <c r="AQ39" s="6" t="n"/>
      <c r="AR39" s="6" t="n"/>
      <c r="AS39" s="6" t="n"/>
      <c r="AT39" s="6" t="n"/>
      <c r="AU39" s="6" t="n"/>
      <c r="AV39" s="6" t="n"/>
      <c r="AW39" s="6" t="n"/>
      <c r="AX39" s="6" t="n"/>
      <c r="AY39" s="6" t="n"/>
      <c r="AZ39" s="6" t="n"/>
      <c r="BA39" s="6" t="n"/>
      <c r="BB39" s="6" t="n"/>
      <c r="BC39" s="6" t="n"/>
      <c r="BD39" s="6" t="n"/>
      <c r="BE39" s="6" t="n"/>
      <c r="BF39" s="6" t="n"/>
      <c r="BG39" s="6" t="n"/>
      <c r="BH39" s="6" t="n"/>
      <c r="BI39" s="6" t="n"/>
    </row>
    <row r="40" ht="15" customHeight="1">
      <c r="A40" s="6" t="n"/>
      <c r="C40" s="6" t="n"/>
      <c r="D40" s="31">
        <f>AVERAGE(H40:O40)</f>
        <v/>
      </c>
      <c r="E40" s="16" t="n"/>
      <c r="F40" s="16" t="n"/>
      <c r="G40" s="17">
        <f>gp_Plann_Projeto!A6</f>
        <v/>
      </c>
      <c r="H40" s="25">
        <f>gp_Plann_Projeto!B6</f>
        <v/>
      </c>
      <c r="I40" s="25">
        <f>gp_Plann_Projeto!C6</f>
        <v/>
      </c>
      <c r="J40" s="25">
        <f>gp_Plann_Projeto!D6</f>
        <v/>
      </c>
      <c r="K40" s="25">
        <f>gp_Plann_Projeto!E6</f>
        <v/>
      </c>
      <c r="L40" s="25">
        <f>gp_Plann_Projeto!F6</f>
        <v/>
      </c>
      <c r="M40" s="25">
        <f>gp_Plann_Projeto!G6</f>
        <v/>
      </c>
      <c r="N40" s="25">
        <f>gp_Plann_Projeto!H6</f>
        <v/>
      </c>
      <c r="O40" s="25">
        <f>gp_Plann_Projeto!I6</f>
        <v/>
      </c>
      <c r="P40" s="25">
        <f>gp_Plann_Projeto!J6</f>
        <v/>
      </c>
      <c r="Q40" s="25">
        <f>gp_Plann_Projeto!K6</f>
        <v/>
      </c>
      <c r="R40" s="25">
        <f>gp_Plann_Projeto!L6</f>
        <v/>
      </c>
      <c r="S40" s="25">
        <f>gp_Plann_Projeto!M6</f>
        <v/>
      </c>
      <c r="T40" s="6" t="n"/>
      <c r="U40" s="6" t="n"/>
      <c r="V40" s="6" t="n"/>
      <c r="W40" s="6" t="n"/>
      <c r="X40" s="6" t="n"/>
      <c r="Y40" s="6" t="n"/>
      <c r="Z40" s="6" t="n"/>
      <c r="AA40" s="6" t="n"/>
      <c r="AB40" s="6" t="n"/>
      <c r="AC40" s="6" t="n"/>
      <c r="AD40" s="6" t="n"/>
      <c r="AF40" s="6" t="n"/>
      <c r="AH40" s="6" t="n"/>
      <c r="AI40" s="6" t="n"/>
      <c r="AJ40" s="6" t="n"/>
      <c r="AK40" s="6" t="n"/>
      <c r="AL40" s="6" t="n"/>
      <c r="AM40" s="6" t="n"/>
      <c r="AN40" s="6" t="n"/>
      <c r="AO40" s="6" t="n"/>
      <c r="AP40" s="6" t="n"/>
      <c r="AQ40" s="6" t="n"/>
      <c r="AR40" s="6" t="n"/>
      <c r="AS40" s="6" t="n"/>
      <c r="AT40" s="6" t="n"/>
      <c r="AU40" s="6" t="n"/>
      <c r="AV40" s="6" t="n"/>
      <c r="AW40" s="6" t="n"/>
      <c r="AX40" s="6" t="n"/>
      <c r="AY40" s="6" t="n"/>
      <c r="AZ40" s="6" t="n"/>
      <c r="BA40" s="6" t="n"/>
      <c r="BB40" s="6" t="n"/>
      <c r="BC40" s="6" t="n"/>
      <c r="BD40" s="6" t="n"/>
      <c r="BE40" s="6" t="n"/>
      <c r="BF40" s="6" t="n"/>
      <c r="BG40" s="6" t="n"/>
      <c r="BH40" s="6" t="n"/>
      <c r="BI40" s="6" t="n"/>
    </row>
    <row r="41" ht="15" customHeight="1">
      <c r="A41" s="6" t="n"/>
      <c r="C41" s="6" t="n"/>
      <c r="D41" s="31">
        <f>AVERAGE(H41:O41)</f>
        <v/>
      </c>
      <c r="E41" s="16" t="n"/>
      <c r="F41" s="16" t="n"/>
      <c r="G41" s="17">
        <f>gp_Plann_Projeto!A7</f>
        <v/>
      </c>
      <c r="H41" s="25">
        <f>gp_Plann_Projeto!B7</f>
        <v/>
      </c>
      <c r="I41" s="25">
        <f>gp_Plann_Projeto!C7</f>
        <v/>
      </c>
      <c r="J41" s="25">
        <f>gp_Plann_Projeto!D7</f>
        <v/>
      </c>
      <c r="K41" s="25">
        <f>gp_Plann_Projeto!E7</f>
        <v/>
      </c>
      <c r="L41" s="25">
        <f>gp_Plann_Projeto!F7</f>
        <v/>
      </c>
      <c r="M41" s="25">
        <f>gp_Plann_Projeto!G7</f>
        <v/>
      </c>
      <c r="N41" s="25">
        <f>gp_Plann_Projeto!H7</f>
        <v/>
      </c>
      <c r="O41" s="25">
        <f>gp_Plann_Projeto!I7</f>
        <v/>
      </c>
      <c r="P41" s="25">
        <f>gp_Plann_Projeto!J7</f>
        <v/>
      </c>
      <c r="Q41" s="25">
        <f>gp_Plann_Projeto!K7</f>
        <v/>
      </c>
      <c r="R41" s="25">
        <f>gp_Plann_Projeto!L7</f>
        <v/>
      </c>
      <c r="S41" s="25">
        <f>gp_Plann_Projeto!M7</f>
        <v/>
      </c>
      <c r="T41" s="6" t="n"/>
      <c r="U41" s="6" t="n"/>
      <c r="V41" s="6" t="n"/>
      <c r="W41" s="6" t="n"/>
      <c r="X41" s="6" t="n"/>
      <c r="Y41" s="6" t="n"/>
      <c r="Z41" s="6" t="n"/>
      <c r="AA41" s="6" t="n"/>
      <c r="AB41" s="6" t="n"/>
      <c r="AC41" s="6" t="n"/>
      <c r="AD41" s="6" t="n"/>
      <c r="AF41" s="6" t="n"/>
      <c r="AH41" s="6" t="n"/>
      <c r="AI41" s="6" t="n"/>
      <c r="AJ41" s="6" t="n"/>
      <c r="AK41" s="6" t="n"/>
      <c r="AL41" s="6" t="n"/>
      <c r="AM41" s="6" t="n"/>
      <c r="AN41" s="6" t="n"/>
      <c r="AO41" s="6" t="n"/>
      <c r="AP41" s="6" t="n"/>
      <c r="AQ41" s="6" t="n"/>
      <c r="AR41" s="6" t="n"/>
      <c r="AS41" s="6" t="n"/>
      <c r="AT41" s="6" t="n"/>
      <c r="AU41" s="6" t="n"/>
      <c r="AV41" s="6" t="n"/>
      <c r="AW41" s="6" t="n"/>
      <c r="AX41" s="6" t="n"/>
      <c r="AY41" s="6" t="n"/>
      <c r="AZ41" s="6" t="n"/>
      <c r="BA41" s="6" t="n"/>
      <c r="BB41" s="6" t="n"/>
      <c r="BC41" s="6" t="n"/>
      <c r="BD41" s="6" t="n"/>
      <c r="BE41" s="6" t="n"/>
      <c r="BF41" s="6" t="n"/>
      <c r="BG41" s="6" t="n"/>
      <c r="BH41" s="6" t="n"/>
      <c r="BI41" s="6" t="n"/>
    </row>
    <row r="42" ht="15" customHeight="1">
      <c r="A42" s="6" t="n"/>
      <c r="C42" s="6" t="n"/>
      <c r="D42" s="31">
        <f>AVERAGE(H42:O42)</f>
        <v/>
      </c>
      <c r="E42" s="16" t="n"/>
      <c r="F42" s="16" t="n"/>
      <c r="G42" s="17">
        <f>gp_Plann_Projeto!A8</f>
        <v/>
      </c>
      <c r="H42" s="25">
        <f>gp_Plann_Projeto!B8</f>
        <v/>
      </c>
      <c r="I42" s="25">
        <f>gp_Plann_Projeto!C8</f>
        <v/>
      </c>
      <c r="J42" s="25">
        <f>gp_Plann_Projeto!D8</f>
        <v/>
      </c>
      <c r="K42" s="25">
        <f>gp_Plann_Projeto!E8</f>
        <v/>
      </c>
      <c r="L42" s="25">
        <f>gp_Plann_Projeto!F8</f>
        <v/>
      </c>
      <c r="M42" s="25">
        <f>gp_Plann_Projeto!G8</f>
        <v/>
      </c>
      <c r="N42" s="25">
        <f>gp_Plann_Projeto!H8</f>
        <v/>
      </c>
      <c r="O42" s="25">
        <f>gp_Plann_Projeto!I8</f>
        <v/>
      </c>
      <c r="P42" s="25">
        <f>gp_Plann_Projeto!J8</f>
        <v/>
      </c>
      <c r="Q42" s="25">
        <f>gp_Plann_Projeto!K8</f>
        <v/>
      </c>
      <c r="R42" s="25">
        <f>gp_Plann_Projeto!L8</f>
        <v/>
      </c>
      <c r="S42" s="25">
        <f>gp_Plann_Projeto!M8</f>
        <v/>
      </c>
      <c r="T42" s="6" t="n"/>
      <c r="U42" s="6" t="n"/>
      <c r="V42" s="6" t="n"/>
      <c r="W42" s="6" t="n"/>
      <c r="X42" s="6" t="n"/>
      <c r="Y42" s="6" t="n"/>
      <c r="Z42" s="6" t="n"/>
      <c r="AA42" s="6" t="n"/>
      <c r="AB42" s="6" t="n"/>
      <c r="AC42" s="6" t="n"/>
      <c r="AD42" s="6" t="n"/>
      <c r="AF42" s="6" t="n"/>
      <c r="AH42" s="6" t="n"/>
      <c r="AI42" s="6" t="n"/>
      <c r="AJ42" s="6" t="n"/>
      <c r="AK42" s="6" t="n"/>
      <c r="AL42" s="6" t="n"/>
      <c r="AM42" s="6" t="n"/>
      <c r="AN42" s="6" t="n"/>
      <c r="AO42" s="6" t="n"/>
      <c r="AP42" s="6" t="n"/>
      <c r="AQ42" s="6" t="n"/>
      <c r="AR42" s="6" t="n"/>
      <c r="AS42" s="6" t="n"/>
      <c r="AT42" s="6" t="n"/>
      <c r="AU42" s="6" t="n"/>
      <c r="AV42" s="6" t="n"/>
      <c r="AW42" s="6" t="n"/>
      <c r="AX42" s="6" t="n"/>
      <c r="AY42" s="6" t="n"/>
      <c r="AZ42" s="6" t="n"/>
      <c r="BA42" s="6" t="n"/>
      <c r="BB42" s="6" t="n"/>
      <c r="BC42" s="6" t="n"/>
      <c r="BD42" s="6" t="n"/>
      <c r="BE42" s="6" t="n"/>
      <c r="BF42" s="6" t="n"/>
      <c r="BG42" s="6" t="n"/>
      <c r="BH42" s="6" t="n"/>
      <c r="BI42" s="6" t="n"/>
    </row>
    <row r="43" ht="15" customHeight="1">
      <c r="A43" s="6" t="n"/>
      <c r="C43" s="6" t="n"/>
      <c r="D43" s="31">
        <f>AVERAGE(H43:O43)</f>
        <v/>
      </c>
      <c r="E43" s="16" t="n"/>
      <c r="F43" s="16" t="n"/>
      <c r="G43" s="17">
        <f>gp_Plann_Projeto!A9</f>
        <v/>
      </c>
      <c r="H43" s="25">
        <f>gp_Plann_Projeto!B9</f>
        <v/>
      </c>
      <c r="I43" s="25">
        <f>gp_Plann_Projeto!C9</f>
        <v/>
      </c>
      <c r="J43" s="25">
        <f>gp_Plann_Projeto!D9</f>
        <v/>
      </c>
      <c r="K43" s="25">
        <f>gp_Plann_Projeto!E9</f>
        <v/>
      </c>
      <c r="L43" s="25">
        <f>gp_Plann_Projeto!F9</f>
        <v/>
      </c>
      <c r="M43" s="25">
        <f>gp_Plann_Projeto!G9</f>
        <v/>
      </c>
      <c r="N43" s="25">
        <f>gp_Plann_Projeto!H9</f>
        <v/>
      </c>
      <c r="O43" s="25">
        <f>gp_Plann_Projeto!I9</f>
        <v/>
      </c>
      <c r="P43" s="25">
        <f>gp_Plann_Projeto!J9</f>
        <v/>
      </c>
      <c r="Q43" s="25">
        <f>gp_Plann_Projeto!K9</f>
        <v/>
      </c>
      <c r="R43" s="25">
        <f>gp_Plann_Projeto!L9</f>
        <v/>
      </c>
      <c r="S43" s="25">
        <f>gp_Plann_Projeto!M9</f>
        <v/>
      </c>
      <c r="T43" s="6" t="n"/>
      <c r="U43" s="6" t="n"/>
      <c r="V43" s="6" t="n"/>
      <c r="W43" s="6" t="n"/>
      <c r="X43" s="6" t="n"/>
      <c r="Y43" s="6" t="n"/>
      <c r="Z43" s="6" t="n"/>
      <c r="AA43" s="6" t="n"/>
      <c r="AB43" s="6" t="n"/>
      <c r="AC43" s="6" t="n"/>
      <c r="AD43" s="6" t="n"/>
      <c r="AF43" s="6" t="n"/>
      <c r="AH43" s="6" t="n"/>
      <c r="AI43" s="6" t="n"/>
      <c r="AJ43" s="6" t="n"/>
      <c r="AK43" s="6" t="n"/>
      <c r="AL43" s="6" t="n"/>
      <c r="AM43" s="6" t="n"/>
      <c r="AN43" s="6" t="n"/>
      <c r="AO43" s="6" t="n"/>
      <c r="AP43" s="6" t="n"/>
      <c r="AQ43" s="6" t="n"/>
      <c r="AR43" s="6" t="n"/>
      <c r="AS43" s="6" t="n"/>
      <c r="AT43" s="6" t="n"/>
      <c r="AU43" s="6" t="n"/>
      <c r="AV43" s="6" t="n"/>
      <c r="AW43" s="6" t="n"/>
      <c r="AX43" s="6" t="n"/>
      <c r="AY43" s="6" t="n"/>
      <c r="AZ43" s="6" t="n"/>
      <c r="BA43" s="6" t="n"/>
      <c r="BB43" s="6" t="n"/>
      <c r="BC43" s="6" t="n"/>
      <c r="BD43" s="6" t="n"/>
      <c r="BE43" s="6" t="n"/>
      <c r="BF43" s="6" t="n"/>
      <c r="BG43" s="6" t="n"/>
      <c r="BH43" s="6" t="n"/>
      <c r="BI43" s="6" t="n"/>
    </row>
    <row r="44" ht="15" customHeight="1">
      <c r="A44" s="6" t="n"/>
      <c r="C44" s="6" t="n"/>
      <c r="D44" s="31">
        <f>AVERAGE(H44:O44)</f>
        <v/>
      </c>
      <c r="E44" s="16" t="n"/>
      <c r="F44" s="16" t="n"/>
      <c r="G44" s="17">
        <f>gp_Plann_Projeto!A10</f>
        <v/>
      </c>
      <c r="H44" s="25">
        <f>gp_Plann_Projeto!B10</f>
        <v/>
      </c>
      <c r="I44" s="25">
        <f>gp_Plann_Projeto!C10</f>
        <v/>
      </c>
      <c r="J44" s="25">
        <f>gp_Plann_Projeto!D10</f>
        <v/>
      </c>
      <c r="K44" s="25">
        <f>gp_Plann_Projeto!E10</f>
        <v/>
      </c>
      <c r="L44" s="25">
        <f>gp_Plann_Projeto!F10</f>
        <v/>
      </c>
      <c r="M44" s="25">
        <f>gp_Plann_Projeto!G10</f>
        <v/>
      </c>
      <c r="N44" s="25">
        <f>gp_Plann_Projeto!H10</f>
        <v/>
      </c>
      <c r="O44" s="25">
        <f>gp_Plann_Projeto!I10</f>
        <v/>
      </c>
      <c r="P44" s="25">
        <f>gp_Plann_Projeto!J10</f>
        <v/>
      </c>
      <c r="Q44" s="25">
        <f>gp_Plann_Projeto!K10</f>
        <v/>
      </c>
      <c r="R44" s="25">
        <f>gp_Plann_Projeto!L10</f>
        <v/>
      </c>
      <c r="S44" s="25">
        <f>gp_Plann_Projeto!M10</f>
        <v/>
      </c>
      <c r="T44" s="6" t="n"/>
      <c r="U44" s="6" t="n"/>
      <c r="V44" s="6" t="n"/>
      <c r="W44" s="6" t="n"/>
      <c r="X44" s="6" t="n"/>
      <c r="Y44" s="6" t="n"/>
      <c r="Z44" s="6" t="n"/>
      <c r="AA44" s="6" t="n"/>
      <c r="AB44" s="6" t="n"/>
      <c r="AC44" s="6" t="n"/>
      <c r="AD44" s="6" t="n"/>
      <c r="AF44" s="6" t="n"/>
      <c r="AH44" s="6" t="n"/>
      <c r="AI44" s="6" t="n"/>
      <c r="AJ44" s="6" t="n"/>
      <c r="AK44" s="6" t="n"/>
      <c r="AL44" s="6" t="n"/>
      <c r="AM44" s="6" t="n"/>
      <c r="AN44" s="6" t="n"/>
      <c r="AO44" s="6" t="n"/>
      <c r="AP44" s="6" t="n"/>
      <c r="AQ44" s="6" t="n"/>
      <c r="AR44" s="6" t="n"/>
      <c r="AS44" s="6" t="n"/>
      <c r="AT44" s="6" t="n"/>
      <c r="AU44" s="6" t="n"/>
      <c r="AV44" s="6" t="n"/>
      <c r="AW44" s="6" t="n"/>
      <c r="AX44" s="6" t="n"/>
      <c r="AY44" s="6" t="n"/>
      <c r="AZ44" s="6" t="n"/>
      <c r="BA44" s="6" t="n"/>
      <c r="BB44" s="6" t="n"/>
      <c r="BC44" s="6" t="n"/>
      <c r="BD44" s="6" t="n"/>
      <c r="BE44" s="6" t="n"/>
      <c r="BF44" s="6" t="n"/>
      <c r="BG44" s="6" t="n"/>
      <c r="BH44" s="6" t="n"/>
      <c r="BI44" s="6" t="n"/>
    </row>
    <row r="45" ht="15" customHeight="1">
      <c r="A45" s="6" t="n"/>
      <c r="C45" s="6" t="n"/>
      <c r="D45" s="31">
        <f>AVERAGE(H45:O45)</f>
        <v/>
      </c>
      <c r="E45" s="16" t="n"/>
      <c r="F45" s="16" t="n"/>
      <c r="G45" s="17">
        <f>gp_Plann_Projeto!A11</f>
        <v/>
      </c>
      <c r="H45" s="25">
        <f>gp_Plann_Projeto!B11</f>
        <v/>
      </c>
      <c r="I45" s="25">
        <f>gp_Plann_Projeto!C11</f>
        <v/>
      </c>
      <c r="J45" s="25">
        <f>gp_Plann_Projeto!D11</f>
        <v/>
      </c>
      <c r="K45" s="25">
        <f>gp_Plann_Projeto!E11</f>
        <v/>
      </c>
      <c r="L45" s="25">
        <f>gp_Plann_Projeto!F11</f>
        <v/>
      </c>
      <c r="M45" s="25">
        <f>gp_Plann_Projeto!G11</f>
        <v/>
      </c>
      <c r="N45" s="25">
        <f>gp_Plann_Projeto!H11</f>
        <v/>
      </c>
      <c r="O45" s="25">
        <f>gp_Plann_Projeto!I11</f>
        <v/>
      </c>
      <c r="P45" s="25">
        <f>gp_Plann_Projeto!J11</f>
        <v/>
      </c>
      <c r="Q45" s="25">
        <f>gp_Plann_Projeto!K11</f>
        <v/>
      </c>
      <c r="R45" s="25">
        <f>gp_Plann_Projeto!L11</f>
        <v/>
      </c>
      <c r="S45" s="25">
        <f>gp_Plann_Projeto!M11</f>
        <v/>
      </c>
      <c r="T45" s="6" t="n"/>
      <c r="U45" s="6" t="n"/>
      <c r="V45" s="6" t="n"/>
      <c r="W45" s="6" t="n"/>
      <c r="X45" s="6" t="n"/>
      <c r="Y45" s="6" t="n"/>
      <c r="Z45" s="6" t="n"/>
      <c r="AA45" s="6" t="n"/>
      <c r="AB45" s="6" t="n"/>
      <c r="AC45" s="6" t="n"/>
      <c r="AD45" s="6" t="n"/>
      <c r="AF45" s="6" t="n"/>
      <c r="AH45" s="6" t="n"/>
      <c r="AI45" s="6" t="n"/>
      <c r="AJ45" s="6" t="n"/>
      <c r="AK45" s="6" t="n"/>
      <c r="AL45" s="6" t="n"/>
      <c r="AM45" s="6" t="n"/>
      <c r="AN45" s="6" t="n"/>
      <c r="AO45" s="6" t="n"/>
      <c r="AP45" s="6" t="n"/>
      <c r="AQ45" s="6" t="n"/>
      <c r="AR45" s="6" t="n"/>
      <c r="AS45" s="6" t="n"/>
      <c r="AT45" s="6" t="n"/>
      <c r="AU45" s="6" t="n"/>
      <c r="AV45" s="6" t="n"/>
      <c r="AW45" s="6" t="n"/>
      <c r="AX45" s="6" t="n"/>
      <c r="AY45" s="6" t="n"/>
      <c r="AZ45" s="6" t="n"/>
      <c r="BA45" s="6" t="n"/>
      <c r="BB45" s="6" t="n"/>
      <c r="BC45" s="6" t="n"/>
      <c r="BD45" s="6" t="n"/>
      <c r="BE45" s="6" t="n"/>
      <c r="BF45" s="6" t="n"/>
      <c r="BG45" s="6" t="n"/>
      <c r="BH45" s="6" t="n"/>
      <c r="BI45" s="6" t="n"/>
    </row>
    <row r="46" ht="15" customHeight="1">
      <c r="A46" s="6" t="n"/>
      <c r="C46" s="6" t="n"/>
      <c r="D46" s="31">
        <f>AVERAGE(H46:O46)</f>
        <v/>
      </c>
      <c r="E46" s="16" t="n"/>
      <c r="F46" s="16" t="n"/>
      <c r="G46" s="17">
        <f>gp_Plann_Projeto!A12</f>
        <v/>
      </c>
      <c r="H46" s="25">
        <f>gp_Plann_Projeto!B12</f>
        <v/>
      </c>
      <c r="I46" s="25">
        <f>gp_Plann_Projeto!C12</f>
        <v/>
      </c>
      <c r="J46" s="25">
        <f>gp_Plann_Projeto!D12</f>
        <v/>
      </c>
      <c r="K46" s="25">
        <f>gp_Plann_Projeto!E12</f>
        <v/>
      </c>
      <c r="L46" s="25">
        <f>gp_Plann_Projeto!F12</f>
        <v/>
      </c>
      <c r="M46" s="25">
        <f>gp_Plann_Projeto!G12</f>
        <v/>
      </c>
      <c r="N46" s="25">
        <f>gp_Plann_Projeto!H12</f>
        <v/>
      </c>
      <c r="O46" s="25">
        <f>gp_Plann_Projeto!I12</f>
        <v/>
      </c>
      <c r="P46" s="25">
        <f>gp_Plann_Projeto!J12</f>
        <v/>
      </c>
      <c r="Q46" s="25">
        <f>gp_Plann_Projeto!K12</f>
        <v/>
      </c>
      <c r="R46" s="25">
        <f>gp_Plann_Projeto!L12</f>
        <v/>
      </c>
      <c r="S46" s="25">
        <f>gp_Plann_Projeto!M12</f>
        <v/>
      </c>
      <c r="T46" s="6" t="n"/>
      <c r="U46" s="6" t="n"/>
      <c r="V46" s="6" t="n"/>
      <c r="W46" s="6" t="n"/>
      <c r="X46" s="6" t="n"/>
      <c r="Y46" s="6" t="n"/>
      <c r="Z46" s="6" t="n"/>
      <c r="AA46" s="6" t="n"/>
      <c r="AB46" s="6" t="n"/>
      <c r="AC46" s="6" t="n"/>
      <c r="AD46" s="6" t="n"/>
      <c r="AF46" s="6" t="n"/>
      <c r="AH46" s="6" t="n"/>
      <c r="AI46" s="6" t="n"/>
      <c r="AJ46" s="6" t="n"/>
      <c r="AK46" s="6" t="n"/>
      <c r="AL46" s="6" t="n"/>
      <c r="AM46" s="6" t="n"/>
      <c r="AN46" s="6" t="n"/>
      <c r="AO46" s="6" t="n"/>
      <c r="AP46" s="6" t="n"/>
      <c r="AQ46" s="6" t="n"/>
      <c r="AR46" s="6" t="n"/>
      <c r="AS46" s="6" t="n"/>
      <c r="AT46" s="6" t="n"/>
      <c r="AU46" s="6" t="n"/>
      <c r="AV46" s="6" t="n"/>
      <c r="AW46" s="6" t="n"/>
      <c r="AX46" s="6" t="n"/>
      <c r="AY46" s="6" t="n"/>
      <c r="AZ46" s="6" t="n"/>
      <c r="BA46" s="6" t="n"/>
      <c r="BB46" s="6" t="n"/>
      <c r="BC46" s="6" t="n"/>
      <c r="BD46" s="6" t="n"/>
      <c r="BE46" s="6" t="n"/>
      <c r="BF46" s="6" t="n"/>
      <c r="BG46" s="6" t="n"/>
      <c r="BH46" s="6" t="n"/>
      <c r="BI46" s="6" t="n"/>
    </row>
    <row r="47" ht="15" customHeight="1">
      <c r="A47" s="6" t="n"/>
      <c r="C47" s="6" t="n"/>
      <c r="D47" s="39">
        <f>AVERAGE(H47:O47)</f>
        <v/>
      </c>
      <c r="E47" s="19" t="n"/>
      <c r="F47" s="19" t="n"/>
      <c r="G47" s="20" t="inlineStr">
        <is>
          <t>Mensuração (maior esforço individual)</t>
        </is>
      </c>
      <c r="H47" s="27" t="inlineStr">
        <is>
          <t>N/A</t>
        </is>
      </c>
      <c r="I47" s="27" t="inlineStr">
        <is>
          <t>N/A</t>
        </is>
      </c>
      <c r="J47" s="27" t="inlineStr">
        <is>
          <t>N/A</t>
        </is>
      </c>
      <c r="K47" s="27" t="inlineStr">
        <is>
          <t>N/A</t>
        </is>
      </c>
      <c r="L47" s="26" t="n">
        <v>40</v>
      </c>
      <c r="M47" s="26" t="n">
        <v>40</v>
      </c>
      <c r="N47" s="26" t="n">
        <v>48</v>
      </c>
      <c r="O47" s="26" t="n">
        <v>48</v>
      </c>
      <c r="P47" s="26" t="n">
        <v>0</v>
      </c>
      <c r="Q47" s="26" t="n">
        <v>0</v>
      </c>
      <c r="R47" s="26" t="n">
        <v>0</v>
      </c>
      <c r="S47" s="26" t="n">
        <v>0</v>
      </c>
      <c r="T47" s="6" t="n"/>
      <c r="U47" s="6" t="n"/>
      <c r="V47" s="6" t="n"/>
      <c r="W47" s="6" t="n"/>
      <c r="X47" s="6" t="n"/>
      <c r="Y47" s="6" t="n"/>
      <c r="Z47" s="6" t="n"/>
      <c r="AA47" s="6" t="n"/>
      <c r="AB47" s="6" t="n"/>
      <c r="AC47" s="6" t="n"/>
      <c r="AD47" s="6" t="n"/>
      <c r="AF47" s="6" t="n"/>
      <c r="AH47" s="6" t="n"/>
      <c r="AI47" s="6" t="n"/>
      <c r="AJ47" s="6" t="n"/>
      <c r="AK47" s="6" t="n"/>
      <c r="AL47" s="6" t="n"/>
      <c r="AM47" s="6" t="n"/>
      <c r="AN47" s="6" t="n"/>
      <c r="AO47" s="6" t="n"/>
      <c r="AP47" s="6" t="n"/>
      <c r="AQ47" s="6" t="n"/>
      <c r="AR47" s="6" t="n"/>
      <c r="AS47" s="6" t="n"/>
      <c r="AT47" s="6" t="n"/>
      <c r="AU47" s="6" t="n"/>
      <c r="AV47" s="6" t="n"/>
      <c r="AW47" s="6" t="n"/>
      <c r="AX47" s="6" t="n"/>
      <c r="AY47" s="6" t="n"/>
      <c r="AZ47" s="6" t="n"/>
      <c r="BA47" s="6" t="n"/>
      <c r="BB47" s="6" t="n"/>
      <c r="BC47" s="6" t="n"/>
      <c r="BD47" s="6" t="n"/>
      <c r="BE47" s="6" t="n"/>
      <c r="BF47" s="6" t="n"/>
      <c r="BG47" s="6" t="n"/>
      <c r="BH47" s="6" t="n"/>
      <c r="BI47" s="6" t="n"/>
    </row>
    <row r="48" ht="15" customHeight="1">
      <c r="A48" s="6" t="n"/>
      <c r="C48" s="6" t="n"/>
      <c r="D48" s="38">
        <f>AVERAGE(H48:O48)</f>
        <v/>
      </c>
      <c r="E48" s="19" t="n"/>
      <c r="F48" s="19" t="n"/>
      <c r="G48" s="20" t="inlineStr">
        <is>
          <t>Throughput - Qtd Storypoints</t>
        </is>
      </c>
      <c r="H48" s="27" t="inlineStr">
        <is>
          <t>N/A</t>
        </is>
      </c>
      <c r="I48" s="27" t="inlineStr">
        <is>
          <t>N/A</t>
        </is>
      </c>
      <c r="J48" s="27" t="inlineStr">
        <is>
          <t>N/A</t>
        </is>
      </c>
      <c r="K48" s="26">
        <f>SUM(K36:K46)</f>
        <v/>
      </c>
      <c r="L48" s="26">
        <f>SUM(L36:L46)</f>
        <v/>
      </c>
      <c r="M48" s="26">
        <f>SUM(M36:M46)</f>
        <v/>
      </c>
      <c r="N48" s="26">
        <f>SUM(N36:N46)</f>
        <v/>
      </c>
      <c r="O48" s="26">
        <f>SUM(O36:O46)</f>
        <v/>
      </c>
      <c r="P48" s="26">
        <f>SUM(P36:P46)</f>
        <v/>
      </c>
      <c r="Q48" s="26">
        <f>SUM(Q36:Q46)</f>
        <v/>
      </c>
      <c r="R48" s="26">
        <f>SUM(R36:R46)</f>
        <v/>
      </c>
      <c r="S48" s="26">
        <f>SUM(S36:S46)</f>
        <v/>
      </c>
      <c r="T48" s="6" t="n"/>
      <c r="U48" s="6" t="n"/>
      <c r="V48" s="6" t="n"/>
      <c r="W48" s="6" t="n"/>
      <c r="X48" s="6" t="n"/>
      <c r="Y48" s="6" t="n"/>
      <c r="Z48" s="6" t="n"/>
      <c r="AA48" s="6" t="n"/>
      <c r="AB48" s="6" t="n"/>
      <c r="AC48" s="6" t="n"/>
      <c r="AD48" s="6" t="n"/>
      <c r="AF48" s="6" t="n"/>
      <c r="AH48" s="6" t="n"/>
      <c r="AI48" s="6" t="n"/>
      <c r="AJ48" s="6" t="n"/>
      <c r="AK48" s="6" t="n"/>
      <c r="AL48" s="6" t="n"/>
      <c r="AM48" s="6" t="n"/>
      <c r="AN48" s="6" t="n"/>
      <c r="AO48" s="6" t="n"/>
      <c r="AP48" s="6" t="n"/>
      <c r="AQ48" s="6" t="n"/>
      <c r="AR48" s="6" t="n"/>
      <c r="AS48" s="6" t="n"/>
      <c r="AT48" s="6" t="n"/>
      <c r="AU48" s="6" t="n"/>
      <c r="AV48" s="6" t="n"/>
      <c r="AW48" s="6" t="n"/>
      <c r="AX48" s="6" t="n"/>
      <c r="AY48" s="6" t="n"/>
      <c r="AZ48" s="6" t="n"/>
      <c r="BA48" s="6" t="n"/>
      <c r="BB48" s="6" t="n"/>
      <c r="BC48" s="6" t="n"/>
      <c r="BD48" s="6" t="n"/>
      <c r="BE48" s="6" t="n"/>
      <c r="BF48" s="6" t="n"/>
      <c r="BG48" s="6" t="n"/>
      <c r="BH48" s="6" t="n"/>
      <c r="BI48" s="6" t="n"/>
    </row>
    <row r="49" ht="15" customHeight="1">
      <c r="A49" s="6" t="n"/>
      <c r="C49" s="6" t="n"/>
      <c r="D49" s="38">
        <f>AVERAGE(H49:O49)</f>
        <v/>
      </c>
      <c r="E49" s="19" t="n"/>
      <c r="F49" s="19" t="n"/>
      <c r="G49" s="20" t="inlineStr">
        <is>
          <t>Throughput - Qtd de Tarefas/Cards</t>
        </is>
      </c>
      <c r="H49" s="27" t="inlineStr">
        <is>
          <t>N/A</t>
        </is>
      </c>
      <c r="I49" s="27" t="inlineStr">
        <is>
          <t>N/A</t>
        </is>
      </c>
      <c r="J49" s="74" t="n">
        <v>160</v>
      </c>
      <c r="K49" s="74" t="n">
        <v>40</v>
      </c>
      <c r="L49" s="74" t="n">
        <v>30</v>
      </c>
      <c r="M49" s="74" t="n">
        <v>50</v>
      </c>
      <c r="N49" s="74" t="n">
        <v>64</v>
      </c>
      <c r="O49" s="74" t="n">
        <v>53</v>
      </c>
      <c r="P49" s="74" t="n">
        <v>0</v>
      </c>
      <c r="Q49" s="74" t="n">
        <v>0</v>
      </c>
      <c r="R49" s="74" t="n">
        <v>0</v>
      </c>
      <c r="S49" s="74" t="n">
        <v>0</v>
      </c>
      <c r="T49" s="6" t="n"/>
      <c r="U49" s="6" t="n"/>
      <c r="V49" s="6" t="n"/>
      <c r="W49" s="6" t="n"/>
      <c r="X49" s="6" t="n"/>
      <c r="Y49" s="6" t="n"/>
      <c r="Z49" s="6" t="n"/>
      <c r="AA49" s="6" t="n"/>
      <c r="AB49" s="6" t="n"/>
      <c r="AC49" s="6" t="n"/>
      <c r="AD49" s="6" t="n"/>
      <c r="AF49" s="6" t="n"/>
      <c r="AH49" s="6" t="n"/>
      <c r="AI49" s="6" t="n"/>
      <c r="AJ49" s="6" t="n"/>
      <c r="AK49" s="6" t="n"/>
      <c r="AL49" s="6" t="n"/>
      <c r="AM49" s="6" t="n"/>
      <c r="AN49" s="6" t="n"/>
      <c r="AO49" s="6" t="n"/>
      <c r="AP49" s="6" t="n"/>
      <c r="AQ49" s="6" t="n"/>
      <c r="AR49" s="6" t="n"/>
      <c r="AS49" s="6" t="n"/>
      <c r="AT49" s="6" t="n"/>
      <c r="AU49" s="6" t="n"/>
      <c r="AV49" s="6" t="n"/>
      <c r="AW49" s="6" t="n"/>
      <c r="AX49" s="6" t="n"/>
      <c r="AY49" s="6" t="n"/>
      <c r="AZ49" s="6" t="n"/>
      <c r="BA49" s="6" t="n"/>
      <c r="BB49" s="6" t="n"/>
      <c r="BC49" s="6" t="n"/>
      <c r="BD49" s="6" t="n"/>
      <c r="BE49" s="6" t="n"/>
      <c r="BF49" s="6" t="n"/>
      <c r="BG49" s="6" t="n"/>
      <c r="BH49" s="6" t="n"/>
      <c r="BI49" s="6" t="n"/>
    </row>
    <row r="50" ht="15" customHeight="1">
      <c r="A50" s="6" t="n"/>
      <c r="C50" s="6" t="n"/>
      <c r="D50" s="39">
        <f>AVERAGE(H50:O50)</f>
        <v/>
      </c>
      <c r="E50" s="19" t="n"/>
      <c r="F50" s="19" t="n"/>
      <c r="G50" s="20" t="inlineStr">
        <is>
          <t>Qtd de Histórias de Usuário (HU)</t>
        </is>
      </c>
      <c r="H50" s="27" t="inlineStr">
        <is>
          <t>N/A</t>
        </is>
      </c>
      <c r="I50" s="27" t="inlineStr">
        <is>
          <t>N/A</t>
        </is>
      </c>
      <c r="J50" s="27" t="inlineStr">
        <is>
          <t>N/A</t>
        </is>
      </c>
      <c r="K50" s="26" t="n">
        <v>1</v>
      </c>
      <c r="L50" s="26" t="n">
        <v>5</v>
      </c>
      <c r="M50" s="26" t="n">
        <v>5</v>
      </c>
      <c r="N50" s="26" t="n">
        <v>6</v>
      </c>
      <c r="O50" s="26" t="n">
        <v>6</v>
      </c>
      <c r="P50" s="26" t="n">
        <v>0</v>
      </c>
      <c r="Q50" s="26" t="n">
        <v>0</v>
      </c>
      <c r="R50" s="26" t="n">
        <v>0</v>
      </c>
      <c r="S50" s="26" t="n">
        <v>0</v>
      </c>
      <c r="T50" s="6" t="n"/>
      <c r="U50" s="6" t="n"/>
      <c r="V50" s="6" t="n"/>
      <c r="W50" s="6" t="n"/>
      <c r="X50" s="6" t="n"/>
      <c r="Y50" s="6" t="n"/>
      <c r="Z50" s="6" t="n"/>
      <c r="AA50" s="6" t="n"/>
      <c r="AB50" s="6" t="n"/>
      <c r="AC50" s="6" t="n"/>
      <c r="AD50" s="6" t="n"/>
      <c r="AF50" s="6" t="n"/>
      <c r="AH50" s="6" t="n"/>
      <c r="AI50" s="6" t="n"/>
      <c r="AJ50" s="6" t="n"/>
      <c r="AK50" s="6" t="n"/>
      <c r="AL50" s="6" t="n"/>
      <c r="AM50" s="6" t="n"/>
      <c r="AN50" s="6" t="n"/>
      <c r="AO50" s="6" t="n"/>
      <c r="AP50" s="6" t="n"/>
      <c r="AQ50" s="6" t="n"/>
      <c r="AR50" s="6" t="n"/>
      <c r="AS50" s="6" t="n"/>
      <c r="AT50" s="6" t="n"/>
      <c r="AU50" s="6" t="n"/>
      <c r="AV50" s="6" t="n"/>
      <c r="AW50" s="6" t="n"/>
      <c r="AX50" s="6" t="n"/>
      <c r="AY50" s="6" t="n"/>
      <c r="AZ50" s="6" t="n"/>
      <c r="BA50" s="6" t="n"/>
      <c r="BB50" s="6" t="n"/>
      <c r="BC50" s="6" t="n"/>
      <c r="BD50" s="6" t="n"/>
      <c r="BE50" s="6" t="n"/>
      <c r="BF50" s="6" t="n"/>
      <c r="BG50" s="6" t="n"/>
      <c r="BH50" s="6" t="n"/>
      <c r="BI50" s="6" t="n"/>
    </row>
    <row r="51" ht="15" customHeight="1">
      <c r="A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c r="AA51" s="6" t="n"/>
      <c r="AB51" s="6" t="n"/>
      <c r="AC51" s="6" t="n"/>
      <c r="AD51" s="6" t="n"/>
      <c r="AF51" s="6" t="n"/>
      <c r="AH51" s="6" t="n"/>
      <c r="AI51" s="6" t="n"/>
      <c r="AJ51" s="6" t="n"/>
      <c r="AK51" s="6" t="n"/>
      <c r="AL51" s="6" t="n"/>
      <c r="AM51" s="6" t="n"/>
      <c r="AN51" s="6" t="n"/>
      <c r="AO51" s="6" t="n"/>
      <c r="AP51" s="6" t="n"/>
      <c r="AQ51" s="6" t="n"/>
      <c r="AR51" s="6" t="n"/>
      <c r="AS51" s="6" t="n"/>
      <c r="AT51" s="6" t="n"/>
      <c r="AU51" s="6" t="n"/>
      <c r="AV51" s="6" t="n"/>
      <c r="AW51" s="6" t="n"/>
      <c r="AX51" s="6" t="n"/>
      <c r="AY51" s="6" t="n"/>
      <c r="AZ51" s="6" t="n"/>
      <c r="BA51" s="6" t="n"/>
      <c r="BB51" s="6" t="n"/>
      <c r="BC51" s="6" t="n"/>
      <c r="BD51" s="6" t="n"/>
      <c r="BE51" s="6" t="n"/>
      <c r="BF51" s="6" t="n"/>
      <c r="BG51" s="6" t="n"/>
      <c r="BH51" s="6" t="n"/>
      <c r="BI51" s="6" t="n"/>
    </row>
    <row r="52" ht="15" customHeight="1">
      <c r="A52" s="6" t="n"/>
      <c r="C52" s="6" t="n"/>
      <c r="D52" s="100" t="inlineStr">
        <is>
          <t>PLANEJAMENTO DA SPRINT ATUAL</t>
        </is>
      </c>
      <c r="T52" s="6" t="n"/>
      <c r="U52" s="6" t="n"/>
      <c r="V52" s="6" t="n"/>
      <c r="W52" s="6" t="n"/>
      <c r="X52" s="6" t="n"/>
      <c r="Y52" s="6" t="n"/>
      <c r="Z52" s="6" t="n"/>
      <c r="AA52" s="6" t="n"/>
      <c r="AB52" s="6" t="n"/>
      <c r="AC52" s="6" t="n"/>
      <c r="AD52" s="6" t="n"/>
      <c r="AF52" s="6" t="n"/>
      <c r="AH52" s="6" t="n"/>
      <c r="AI52" s="6" t="n"/>
      <c r="AJ52" s="6" t="n"/>
      <c r="AK52" s="6" t="n"/>
      <c r="AL52" s="6" t="n"/>
      <c r="AM52" s="6" t="n"/>
      <c r="AN52" s="6" t="n"/>
      <c r="AO52" s="6" t="n"/>
      <c r="AP52" s="6" t="n"/>
      <c r="AQ52" s="6" t="n"/>
      <c r="AR52" s="6" t="n"/>
      <c r="AS52" s="6" t="n"/>
      <c r="AT52" s="6" t="n"/>
      <c r="AU52" s="6" t="n"/>
      <c r="AV52" s="6" t="n"/>
      <c r="AW52" s="6" t="n"/>
      <c r="AX52" s="6" t="n"/>
      <c r="AY52" s="6" t="n"/>
      <c r="AZ52" s="6" t="n"/>
      <c r="BA52" s="6" t="n"/>
      <c r="BB52" s="6" t="n"/>
      <c r="BC52" s="6" t="n"/>
      <c r="BD52" s="6" t="n"/>
      <c r="BE52" s="6" t="n"/>
      <c r="BF52" s="6" t="n"/>
      <c r="BG52" s="6" t="n"/>
      <c r="BH52" s="6" t="n"/>
      <c r="BI52" s="6" t="n"/>
    </row>
    <row r="53" ht="15" customHeight="1">
      <c r="A53" s="6" t="n"/>
      <c r="C53" s="6" t="n"/>
      <c r="D53" s="20" t="n"/>
      <c r="E53" s="19" t="n"/>
      <c r="F53" s="19" t="n"/>
      <c r="G53" s="20" t="inlineStr">
        <is>
          <t>PRIORIDADE</t>
        </is>
      </c>
      <c r="H53" s="21" t="n">
        <v>1</v>
      </c>
      <c r="I53" s="22" t="n">
        <v>2</v>
      </c>
      <c r="J53" s="22" t="n">
        <v>3</v>
      </c>
      <c r="K53" s="22" t="n">
        <v>4</v>
      </c>
      <c r="L53" s="22" t="n">
        <v>5</v>
      </c>
      <c r="M53" s="22" t="n">
        <v>6</v>
      </c>
      <c r="N53" s="22" t="n">
        <v>7</v>
      </c>
      <c r="O53" s="22" t="n">
        <v>8</v>
      </c>
      <c r="P53" s="22" t="n">
        <v>9</v>
      </c>
      <c r="Q53" s="22" t="n">
        <v>10</v>
      </c>
      <c r="R53" s="22" t="n">
        <v>11</v>
      </c>
      <c r="S53" s="22" t="n">
        <v>12</v>
      </c>
      <c r="T53" s="6" t="n"/>
      <c r="U53" s="6" t="n"/>
      <c r="V53" s="6" t="n"/>
      <c r="W53" s="6" t="n"/>
      <c r="X53" s="6" t="n"/>
      <c r="Y53" s="6" t="n"/>
      <c r="Z53" s="6" t="n"/>
      <c r="AA53" s="6" t="n"/>
      <c r="AB53" s="6" t="n"/>
      <c r="AC53" s="6" t="n"/>
      <c r="AD53" s="6" t="n"/>
      <c r="AF53" s="6" t="n"/>
      <c r="AH53" s="6" t="n"/>
      <c r="AI53" s="6" t="n"/>
      <c r="AJ53" s="6" t="n"/>
      <c r="AK53" s="6" t="n"/>
      <c r="AL53" s="6" t="n"/>
      <c r="AM53" s="6" t="n"/>
      <c r="AN53" s="6" t="n"/>
      <c r="AO53" s="6" t="n"/>
      <c r="AP53" s="6" t="n"/>
      <c r="AQ53" s="6" t="n"/>
      <c r="AR53" s="6" t="n"/>
      <c r="AS53" s="6" t="n"/>
      <c r="AT53" s="6" t="n"/>
      <c r="AU53" s="6" t="n"/>
      <c r="AV53" s="6" t="n"/>
      <c r="AW53" s="6" t="n"/>
      <c r="AX53" s="6" t="n"/>
      <c r="AY53" s="6" t="n"/>
      <c r="AZ53" s="6" t="n"/>
      <c r="BA53" s="6" t="n"/>
      <c r="BB53" s="6" t="n"/>
      <c r="BC53" s="6" t="n"/>
      <c r="BD53" s="6" t="n"/>
      <c r="BE53" s="6" t="n"/>
      <c r="BF53" s="6" t="n"/>
      <c r="BG53" s="6" t="n"/>
      <c r="BH53" s="6" t="n"/>
      <c r="BI53" s="6" t="n"/>
    </row>
    <row r="54" ht="30.75" customHeight="1">
      <c r="A54" s="6" t="n"/>
      <c r="C54" s="6" t="n"/>
      <c r="D54" s="21" t="inlineStr">
        <is>
          <t>TOTAL de storypoints por perfil</t>
        </is>
      </c>
      <c r="E54" s="19" t="n"/>
      <c r="F54" s="19" t="n"/>
      <c r="G54" s="20">
        <f>gp_Plann_Sprint!A1</f>
        <v/>
      </c>
      <c r="H54" s="91">
        <f>gp_Plann_Sprint!B1</f>
        <v/>
      </c>
      <c r="I54" s="91">
        <f>gp_Plann_Sprint!C1</f>
        <v/>
      </c>
      <c r="J54" s="91">
        <f>gp_Plann_Sprint!D1</f>
        <v/>
      </c>
      <c r="K54" s="91">
        <f>gp_Plann_Sprint!E1</f>
        <v/>
      </c>
      <c r="L54" s="91">
        <f>gp_Plann_Sprint!F1</f>
        <v/>
      </c>
      <c r="M54" s="91">
        <f>gp_Plann_Sprint!G1</f>
        <v/>
      </c>
      <c r="N54" s="91">
        <f>gp_Plann_Sprint!H1</f>
        <v/>
      </c>
      <c r="O54" s="91">
        <f>gp_Plann_Sprint!I1</f>
        <v/>
      </c>
      <c r="P54" s="91">
        <f>gp_Plann_Sprint!J1</f>
        <v/>
      </c>
      <c r="Q54" s="91">
        <f>gp_Plann_Sprint!K1</f>
        <v/>
      </c>
      <c r="R54" s="91">
        <f>gp_Plann_Sprint!L1</f>
        <v/>
      </c>
      <c r="S54" s="91">
        <f>gp_Plann_Sprint!M1</f>
        <v/>
      </c>
      <c r="T54" s="6" t="n"/>
      <c r="U54" s="6" t="n"/>
      <c r="V54" s="6" t="n"/>
      <c r="W54" s="6" t="n"/>
      <c r="X54" s="6" t="n"/>
      <c r="Y54" s="6" t="n"/>
      <c r="Z54" s="6" t="n"/>
      <c r="AA54" s="6" t="n"/>
      <c r="AB54" s="6" t="n"/>
      <c r="AC54" s="6" t="n"/>
      <c r="AD54" s="6" t="n"/>
      <c r="AF54" s="6" t="n"/>
      <c r="AH54" s="6" t="n"/>
      <c r="AI54" s="6" t="n"/>
      <c r="AJ54" s="6" t="n"/>
      <c r="AK54" s="6" t="n"/>
      <c r="AL54" s="6" t="n"/>
      <c r="AM54" s="6" t="n"/>
      <c r="AN54" s="6" t="n"/>
      <c r="AO54" s="6" t="n"/>
      <c r="AP54" s="6" t="n"/>
      <c r="AQ54" s="6" t="n"/>
      <c r="AR54" s="6" t="n"/>
      <c r="AS54" s="6" t="n"/>
      <c r="AT54" s="6" t="n"/>
      <c r="AU54" s="6" t="n"/>
      <c r="AV54" s="6" t="n"/>
      <c r="AW54" s="6" t="n"/>
      <c r="AX54" s="6" t="n"/>
      <c r="AY54" s="6" t="n"/>
      <c r="AZ54" s="6" t="n"/>
      <c r="BA54" s="6" t="n"/>
      <c r="BB54" s="6" t="n"/>
      <c r="BC54" s="6" t="n"/>
      <c r="BD54" s="6" t="n"/>
      <c r="BE54" s="6" t="n"/>
      <c r="BF54" s="6" t="n"/>
      <c r="BG54" s="6" t="n"/>
      <c r="BH54" s="6" t="n"/>
      <c r="BI54" s="6" t="n"/>
    </row>
    <row r="55" ht="15" customHeight="1">
      <c r="A55" s="6" t="n"/>
      <c r="C55" s="6" t="n"/>
      <c r="D55" s="31">
        <f>SUM(H55:P55)</f>
        <v/>
      </c>
      <c r="E55" s="16" t="n"/>
      <c r="F55" s="16" t="n"/>
      <c r="G55" s="70">
        <f>gp_Plann_Sprint!A2</f>
        <v/>
      </c>
      <c r="H55" s="24">
        <f>gp_Plann_Sprint!B2</f>
        <v/>
      </c>
      <c r="I55" s="24">
        <f>gp_Plann_Sprint!C2</f>
        <v/>
      </c>
      <c r="J55" s="24">
        <f>gp_Plann_Sprint!D2</f>
        <v/>
      </c>
      <c r="K55" s="24">
        <f>gp_Plann_Sprint!E2</f>
        <v/>
      </c>
      <c r="L55" s="24">
        <f>gp_Plann_Sprint!F2</f>
        <v/>
      </c>
      <c r="M55" s="24">
        <f>gp_Plann_Sprint!G2</f>
        <v/>
      </c>
      <c r="N55" s="24">
        <f>gp_Plann_Sprint!H2</f>
        <v/>
      </c>
      <c r="O55" s="24">
        <f>gp_Plann_Sprint!I2</f>
        <v/>
      </c>
      <c r="P55" s="24">
        <f>gp_Plann_Sprint!J2</f>
        <v/>
      </c>
      <c r="Q55" s="24">
        <f>gp_Plann_Sprint!K2</f>
        <v/>
      </c>
      <c r="R55" s="24">
        <f>gp_Plann_Sprint!L2</f>
        <v/>
      </c>
      <c r="S55" s="24">
        <f>gp_Plann_Sprint!M2</f>
        <v/>
      </c>
      <c r="T55" s="6" t="n"/>
      <c r="U55" s="6" t="n"/>
      <c r="V55" s="6" t="n"/>
      <c r="W55" s="6" t="n"/>
      <c r="X55" s="6" t="n"/>
      <c r="Y55" s="6" t="n"/>
      <c r="Z55" s="6" t="n"/>
      <c r="AA55" s="6" t="n"/>
      <c r="AB55" s="6" t="n"/>
      <c r="AC55" s="6" t="n"/>
      <c r="AD55" s="6" t="n"/>
      <c r="AF55" s="6" t="n"/>
      <c r="AH55" s="6" t="n"/>
      <c r="AI55" s="6" t="n"/>
      <c r="AJ55" s="6" t="n"/>
      <c r="AK55" s="6" t="n"/>
      <c r="AL55" s="6" t="n"/>
      <c r="AM55" s="6" t="n"/>
      <c r="AN55" s="6" t="n"/>
      <c r="AO55" s="6" t="n"/>
      <c r="AP55" s="6" t="n"/>
      <c r="AQ55" s="6" t="n"/>
      <c r="AR55" s="6" t="n"/>
      <c r="AS55" s="6" t="n"/>
      <c r="AT55" s="6" t="n"/>
      <c r="AU55" s="6" t="n"/>
      <c r="AV55" s="6" t="n"/>
      <c r="AW55" s="6" t="n"/>
      <c r="AX55" s="6" t="n"/>
      <c r="AY55" s="6" t="n"/>
      <c r="AZ55" s="6" t="n"/>
      <c r="BA55" s="6" t="n"/>
      <c r="BB55" s="6" t="n"/>
      <c r="BC55" s="6" t="n"/>
      <c r="BD55" s="6" t="n"/>
      <c r="BE55" s="6" t="n"/>
      <c r="BF55" s="6" t="n"/>
      <c r="BG55" s="6" t="n"/>
      <c r="BH55" s="6" t="n"/>
      <c r="BI55" s="6" t="n"/>
    </row>
    <row r="56" ht="15" customHeight="1">
      <c r="A56" s="6" t="n"/>
      <c r="C56" s="6" t="n"/>
      <c r="D56" s="31">
        <f>SUM(H56:P56)</f>
        <v/>
      </c>
      <c r="E56" s="16" t="n"/>
      <c r="F56" s="16" t="n"/>
      <c r="G56" s="70">
        <f>gp_Plann_Sprint!A3</f>
        <v/>
      </c>
      <c r="H56" s="24">
        <f>gp_Plann_Sprint!B3</f>
        <v/>
      </c>
      <c r="I56" s="24">
        <f>gp_Plann_Sprint!C3</f>
        <v/>
      </c>
      <c r="J56" s="24">
        <f>gp_Plann_Sprint!D3</f>
        <v/>
      </c>
      <c r="K56" s="24">
        <f>gp_Plann_Sprint!E3</f>
        <v/>
      </c>
      <c r="L56" s="24">
        <f>gp_Plann_Sprint!F3</f>
        <v/>
      </c>
      <c r="M56" s="24">
        <f>gp_Plann_Sprint!G3</f>
        <v/>
      </c>
      <c r="N56" s="24">
        <f>gp_Plann_Sprint!H3</f>
        <v/>
      </c>
      <c r="O56" s="24">
        <f>gp_Plann_Sprint!I3</f>
        <v/>
      </c>
      <c r="P56" s="24">
        <f>gp_Plann_Sprint!J3</f>
        <v/>
      </c>
      <c r="Q56" s="24">
        <f>gp_Plann_Sprint!K3</f>
        <v/>
      </c>
      <c r="R56" s="24">
        <f>gp_Plann_Sprint!L3</f>
        <v/>
      </c>
      <c r="S56" s="24">
        <f>gp_Plann_Sprint!M3</f>
        <v/>
      </c>
      <c r="T56" s="6" t="n"/>
      <c r="U56" s="6" t="n"/>
      <c r="V56" s="6" t="n"/>
      <c r="W56" s="6" t="n"/>
      <c r="X56" s="6" t="n"/>
      <c r="Y56" s="6" t="n"/>
      <c r="Z56" s="6" t="n"/>
      <c r="AA56" s="6" t="n"/>
      <c r="AB56" s="6" t="n"/>
      <c r="AC56" s="6" t="n"/>
      <c r="AD56" s="6" t="n"/>
      <c r="AF56" s="6" t="n"/>
      <c r="AH56" s="6" t="n"/>
      <c r="AI56" s="6" t="n"/>
      <c r="AJ56" s="6" t="n"/>
      <c r="AK56" s="6" t="n"/>
      <c r="AL56" s="6" t="n"/>
      <c r="AM56" s="6" t="n"/>
      <c r="AN56" s="6" t="n"/>
      <c r="AO56" s="6" t="n"/>
      <c r="AP56" s="6" t="n"/>
      <c r="AQ56" s="6" t="n"/>
      <c r="AR56" s="6" t="n"/>
      <c r="AS56" s="6" t="n"/>
      <c r="AT56" s="6" t="n"/>
      <c r="AU56" s="6" t="n"/>
      <c r="AV56" s="6" t="n"/>
      <c r="AW56" s="6" t="n"/>
      <c r="AX56" s="6" t="n"/>
      <c r="AY56" s="6" t="n"/>
      <c r="AZ56" s="6" t="n"/>
      <c r="BA56" s="6" t="n"/>
      <c r="BB56" s="6" t="n"/>
      <c r="BC56" s="6" t="n"/>
      <c r="BD56" s="6" t="n"/>
      <c r="BE56" s="6" t="n"/>
      <c r="BF56" s="6" t="n"/>
      <c r="BG56" s="6" t="n"/>
      <c r="BH56" s="6" t="n"/>
      <c r="BI56" s="6" t="n"/>
    </row>
    <row r="57" ht="15" customHeight="1">
      <c r="A57" s="6" t="n"/>
      <c r="C57" s="6" t="n"/>
      <c r="D57" s="31">
        <f>SUM(H57:P57)</f>
        <v/>
      </c>
      <c r="E57" s="16" t="n"/>
      <c r="F57" s="16" t="n"/>
      <c r="G57" s="70">
        <f>gp_Plann_Sprint!A4</f>
        <v/>
      </c>
      <c r="H57" s="24">
        <f>gp_Plann_Sprint!B4</f>
        <v/>
      </c>
      <c r="I57" s="24">
        <f>gp_Plann_Sprint!C4</f>
        <v/>
      </c>
      <c r="J57" s="24">
        <f>gp_Plann_Sprint!D4</f>
        <v/>
      </c>
      <c r="K57" s="24">
        <f>gp_Plann_Sprint!E4</f>
        <v/>
      </c>
      <c r="L57" s="24">
        <f>gp_Plann_Sprint!F4</f>
        <v/>
      </c>
      <c r="M57" s="24">
        <f>gp_Plann_Sprint!G4</f>
        <v/>
      </c>
      <c r="N57" s="24">
        <f>gp_Plann_Sprint!H4</f>
        <v/>
      </c>
      <c r="O57" s="24">
        <f>gp_Plann_Sprint!I4</f>
        <v/>
      </c>
      <c r="P57" s="24">
        <f>gp_Plann_Sprint!J4</f>
        <v/>
      </c>
      <c r="Q57" s="24">
        <f>gp_Plann_Sprint!K4</f>
        <v/>
      </c>
      <c r="R57" s="24">
        <f>gp_Plann_Sprint!L4</f>
        <v/>
      </c>
      <c r="S57" s="24">
        <f>gp_Plann_Sprint!M4</f>
        <v/>
      </c>
      <c r="T57" s="6" t="n"/>
      <c r="U57" s="6" t="n"/>
      <c r="V57" s="6" t="n"/>
      <c r="W57" s="6" t="n"/>
      <c r="X57" s="6" t="n"/>
      <c r="Y57" s="6" t="n"/>
      <c r="Z57" s="6" t="n"/>
      <c r="AA57" s="6" t="n"/>
      <c r="AB57" s="6" t="n"/>
      <c r="AC57" s="6" t="n"/>
      <c r="AD57" s="6" t="n"/>
      <c r="AF57" s="6" t="n"/>
      <c r="AH57" s="6" t="n"/>
      <c r="AI57" s="6" t="n"/>
      <c r="AJ57" s="6" t="n"/>
      <c r="AK57" s="6" t="n"/>
      <c r="AL57" s="6" t="n"/>
      <c r="AM57" s="6" t="n"/>
      <c r="AN57" s="6" t="n"/>
      <c r="AO57" s="6" t="n"/>
      <c r="AP57" s="6" t="n"/>
      <c r="AQ57" s="6" t="n"/>
      <c r="AR57" s="6" t="n"/>
      <c r="AS57" s="6" t="n"/>
      <c r="AT57" s="6" t="n"/>
      <c r="AU57" s="6" t="n"/>
      <c r="AV57" s="6" t="n"/>
      <c r="AW57" s="6" t="n"/>
      <c r="AX57" s="6" t="n"/>
      <c r="AY57" s="6" t="n"/>
      <c r="AZ57" s="6" t="n"/>
      <c r="BA57" s="6" t="n"/>
      <c r="BB57" s="6" t="n"/>
      <c r="BC57" s="6" t="n"/>
      <c r="BD57" s="6" t="n"/>
      <c r="BE57" s="6" t="n"/>
      <c r="BF57" s="6" t="n"/>
      <c r="BG57" s="6" t="n"/>
      <c r="BH57" s="6" t="n"/>
      <c r="BI57" s="6" t="n"/>
    </row>
    <row r="58" ht="15" customHeight="1">
      <c r="A58" s="6" t="n"/>
      <c r="C58" s="6" t="n"/>
      <c r="D58" s="31">
        <f>SUM(H58:P58)</f>
        <v/>
      </c>
      <c r="E58" s="16" t="n"/>
      <c r="F58" s="16" t="n"/>
      <c r="G58" s="70">
        <f>gp_Plann_Sprint!A5</f>
        <v/>
      </c>
      <c r="H58" s="24">
        <f>gp_Plann_Sprint!B5</f>
        <v/>
      </c>
      <c r="I58" s="24">
        <f>gp_Plann_Sprint!C5</f>
        <v/>
      </c>
      <c r="J58" s="24">
        <f>gp_Plann_Sprint!D5</f>
        <v/>
      </c>
      <c r="K58" s="24">
        <f>gp_Plann_Sprint!E5</f>
        <v/>
      </c>
      <c r="L58" s="24">
        <f>gp_Plann_Sprint!F5</f>
        <v/>
      </c>
      <c r="M58" s="24">
        <f>gp_Plann_Sprint!G5</f>
        <v/>
      </c>
      <c r="N58" s="24">
        <f>gp_Plann_Sprint!H5</f>
        <v/>
      </c>
      <c r="O58" s="24">
        <f>gp_Plann_Sprint!I5</f>
        <v/>
      </c>
      <c r="P58" s="24">
        <f>gp_Plann_Sprint!J5</f>
        <v/>
      </c>
      <c r="Q58" s="24">
        <f>gp_Plann_Sprint!K5</f>
        <v/>
      </c>
      <c r="R58" s="24">
        <f>gp_Plann_Sprint!L5</f>
        <v/>
      </c>
      <c r="S58" s="24">
        <f>gp_Plann_Sprint!M5</f>
        <v/>
      </c>
      <c r="T58" s="6" t="n"/>
      <c r="U58" s="6" t="n"/>
      <c r="V58" s="6" t="n"/>
      <c r="W58" s="6" t="n"/>
      <c r="X58" s="6" t="n"/>
      <c r="Y58" s="6" t="n"/>
      <c r="Z58" s="6" t="n"/>
      <c r="AA58" s="6" t="n"/>
      <c r="AB58" s="6" t="n"/>
      <c r="AC58" s="6" t="n"/>
      <c r="AD58" s="6" t="n"/>
      <c r="AF58" s="6" t="n"/>
      <c r="AH58" s="6" t="n"/>
      <c r="AI58" s="6" t="n"/>
      <c r="AJ58" s="6" t="n"/>
      <c r="AK58" s="6" t="n"/>
      <c r="AL58" s="6" t="n"/>
      <c r="AM58" s="6" t="n"/>
      <c r="AN58" s="6" t="n"/>
      <c r="AO58" s="6" t="n"/>
      <c r="AP58" s="6" t="n"/>
      <c r="AQ58" s="6" t="n"/>
      <c r="AR58" s="6" t="n"/>
      <c r="AS58" s="6" t="n"/>
      <c r="AT58" s="6" t="n"/>
      <c r="AU58" s="6" t="n"/>
      <c r="AV58" s="6" t="n"/>
      <c r="AW58" s="6" t="n"/>
      <c r="AX58" s="6" t="n"/>
      <c r="AY58" s="6" t="n"/>
      <c r="AZ58" s="6" t="n"/>
      <c r="BA58" s="6" t="n"/>
      <c r="BB58" s="6" t="n"/>
      <c r="BC58" s="6" t="n"/>
      <c r="BD58" s="6" t="n"/>
      <c r="BE58" s="6" t="n"/>
      <c r="BF58" s="6" t="n"/>
      <c r="BG58" s="6" t="n"/>
      <c r="BH58" s="6" t="n"/>
      <c r="BI58" s="6" t="n"/>
    </row>
    <row r="59" ht="15" customHeight="1">
      <c r="A59" s="6" t="n"/>
      <c r="C59" s="6" t="n"/>
      <c r="D59" s="31">
        <f>SUM(H59:P59)</f>
        <v/>
      </c>
      <c r="E59" s="16" t="n"/>
      <c r="F59" s="16" t="n"/>
      <c r="G59" s="70">
        <f>gp_Plann_Sprint!A6</f>
        <v/>
      </c>
      <c r="H59" s="24">
        <f>gp_Plann_Sprint!B6</f>
        <v/>
      </c>
      <c r="I59" s="24">
        <f>gp_Plann_Sprint!C6</f>
        <v/>
      </c>
      <c r="J59" s="24">
        <f>gp_Plann_Sprint!D6</f>
        <v/>
      </c>
      <c r="K59" s="24">
        <f>gp_Plann_Sprint!E6</f>
        <v/>
      </c>
      <c r="L59" s="24">
        <f>gp_Plann_Sprint!F6</f>
        <v/>
      </c>
      <c r="M59" s="24">
        <f>gp_Plann_Sprint!G6</f>
        <v/>
      </c>
      <c r="N59" s="24">
        <f>gp_Plann_Sprint!H6</f>
        <v/>
      </c>
      <c r="O59" s="24">
        <f>gp_Plann_Sprint!I6</f>
        <v/>
      </c>
      <c r="P59" s="24">
        <f>gp_Plann_Sprint!J6</f>
        <v/>
      </c>
      <c r="Q59" s="24">
        <f>gp_Plann_Sprint!K6</f>
        <v/>
      </c>
      <c r="R59" s="24">
        <f>gp_Plann_Sprint!L6</f>
        <v/>
      </c>
      <c r="S59" s="24">
        <f>gp_Plann_Sprint!M6</f>
        <v/>
      </c>
      <c r="T59" s="6" t="n"/>
      <c r="U59" s="6" t="n"/>
      <c r="V59" s="6" t="n"/>
      <c r="W59" s="6" t="n"/>
      <c r="X59" s="6" t="n"/>
      <c r="Y59" s="6" t="n"/>
      <c r="Z59" s="6" t="n"/>
      <c r="AA59" s="6" t="n"/>
      <c r="AB59" s="6" t="n"/>
      <c r="AC59" s="6" t="n"/>
      <c r="AD59" s="6" t="n"/>
      <c r="AF59" s="6" t="n"/>
      <c r="AH59" s="6" t="n"/>
      <c r="AI59" s="6" t="n"/>
      <c r="AJ59" s="6" t="n"/>
      <c r="AK59" s="6" t="n"/>
      <c r="AL59" s="6" t="n"/>
      <c r="AM59" s="6" t="n"/>
      <c r="AN59" s="6" t="n"/>
      <c r="AO59" s="6" t="n"/>
      <c r="AP59" s="6" t="n"/>
      <c r="AQ59" s="6" t="n"/>
      <c r="AR59" s="6" t="n"/>
      <c r="AS59" s="6" t="n"/>
      <c r="AT59" s="6" t="n"/>
      <c r="AU59" s="6" t="n"/>
      <c r="AV59" s="6" t="n"/>
      <c r="AW59" s="6" t="n"/>
      <c r="AX59" s="6" t="n"/>
      <c r="AY59" s="6" t="n"/>
      <c r="AZ59" s="6" t="n"/>
      <c r="BA59" s="6" t="n"/>
      <c r="BB59" s="6" t="n"/>
      <c r="BC59" s="6" t="n"/>
      <c r="BD59" s="6" t="n"/>
      <c r="BE59" s="6" t="n"/>
      <c r="BF59" s="6" t="n"/>
      <c r="BG59" s="6" t="n"/>
      <c r="BH59" s="6" t="n"/>
      <c r="BI59" s="6" t="n"/>
    </row>
    <row r="60" ht="15" customHeight="1">
      <c r="A60" s="6" t="n"/>
      <c r="C60" s="6" t="n"/>
      <c r="D60" s="31">
        <f>SUM(H60:P60)</f>
        <v/>
      </c>
      <c r="E60" s="16" t="n"/>
      <c r="F60" s="16" t="n"/>
      <c r="G60" s="70">
        <f>gp_Plann_Sprint!A7</f>
        <v/>
      </c>
      <c r="H60" s="24">
        <f>gp_Plann_Sprint!B7</f>
        <v/>
      </c>
      <c r="I60" s="24">
        <f>gp_Plann_Sprint!C7</f>
        <v/>
      </c>
      <c r="J60" s="24">
        <f>gp_Plann_Sprint!D7</f>
        <v/>
      </c>
      <c r="K60" s="24">
        <f>gp_Plann_Sprint!E7</f>
        <v/>
      </c>
      <c r="L60" s="24">
        <f>gp_Plann_Sprint!F7</f>
        <v/>
      </c>
      <c r="M60" s="24">
        <f>gp_Plann_Sprint!G7</f>
        <v/>
      </c>
      <c r="N60" s="24">
        <f>gp_Plann_Sprint!H7</f>
        <v/>
      </c>
      <c r="O60" s="24">
        <f>gp_Plann_Sprint!I7</f>
        <v/>
      </c>
      <c r="P60" s="24">
        <f>gp_Plann_Sprint!J7</f>
        <v/>
      </c>
      <c r="Q60" s="24">
        <f>gp_Plann_Sprint!K7</f>
        <v/>
      </c>
      <c r="R60" s="24">
        <f>gp_Plann_Sprint!L7</f>
        <v/>
      </c>
      <c r="S60" s="24">
        <f>gp_Plann_Sprint!M7</f>
        <v/>
      </c>
      <c r="T60" s="6" t="n"/>
      <c r="U60" s="6" t="n"/>
      <c r="V60" s="6" t="n"/>
      <c r="W60" s="6" t="n"/>
      <c r="X60" s="6" t="n"/>
      <c r="Y60" s="6" t="n"/>
      <c r="Z60" s="6" t="n"/>
      <c r="AA60" s="6" t="n"/>
      <c r="AB60" s="6" t="n"/>
      <c r="AC60" s="6" t="n"/>
      <c r="AD60" s="6" t="n"/>
      <c r="AF60" s="6" t="n"/>
      <c r="AH60" s="6" t="n"/>
      <c r="AI60" s="6" t="n"/>
      <c r="AJ60" s="6" t="n"/>
      <c r="AK60" s="6" t="n"/>
      <c r="AL60" s="6" t="n"/>
      <c r="AM60" s="6" t="n"/>
      <c r="AN60" s="6" t="n"/>
      <c r="AO60" s="6" t="n"/>
      <c r="AP60" s="6" t="n"/>
      <c r="AQ60" s="6" t="n"/>
      <c r="AR60" s="6" t="n"/>
      <c r="AS60" s="6" t="n"/>
      <c r="AT60" s="6" t="n"/>
      <c r="AU60" s="6" t="n"/>
      <c r="AV60" s="6" t="n"/>
      <c r="AW60" s="6" t="n"/>
      <c r="AX60" s="6" t="n"/>
      <c r="AY60" s="6" t="n"/>
      <c r="AZ60" s="6" t="n"/>
      <c r="BA60" s="6" t="n"/>
      <c r="BB60" s="6" t="n"/>
      <c r="BC60" s="6" t="n"/>
      <c r="BD60" s="6" t="n"/>
      <c r="BE60" s="6" t="n"/>
      <c r="BF60" s="6" t="n"/>
      <c r="BG60" s="6" t="n"/>
      <c r="BH60" s="6" t="n"/>
      <c r="BI60" s="6" t="n"/>
    </row>
    <row r="61" ht="15" customHeight="1">
      <c r="A61" s="6" t="n"/>
      <c r="C61" s="6" t="n"/>
      <c r="D61" s="31">
        <f>SUM(H61:P61)</f>
        <v/>
      </c>
      <c r="E61" s="16" t="n"/>
      <c r="F61" s="16" t="n"/>
      <c r="G61" s="70">
        <f>gp_Plann_Sprint!A8</f>
        <v/>
      </c>
      <c r="H61" s="24">
        <f>gp_Plann_Sprint!B8</f>
        <v/>
      </c>
      <c r="I61" s="24">
        <f>gp_Plann_Sprint!C8</f>
        <v/>
      </c>
      <c r="J61" s="24">
        <f>gp_Plann_Sprint!D8</f>
        <v/>
      </c>
      <c r="K61" s="24">
        <f>gp_Plann_Sprint!E8</f>
        <v/>
      </c>
      <c r="L61" s="24">
        <f>gp_Plann_Sprint!F8</f>
        <v/>
      </c>
      <c r="M61" s="24">
        <f>gp_Plann_Sprint!G8</f>
        <v/>
      </c>
      <c r="N61" s="24">
        <f>gp_Plann_Sprint!H8</f>
        <v/>
      </c>
      <c r="O61" s="24">
        <f>gp_Plann_Sprint!I8</f>
        <v/>
      </c>
      <c r="P61" s="24">
        <f>gp_Plann_Sprint!J8</f>
        <v/>
      </c>
      <c r="Q61" s="24">
        <f>gp_Plann_Sprint!K8</f>
        <v/>
      </c>
      <c r="R61" s="24">
        <f>gp_Plann_Sprint!L8</f>
        <v/>
      </c>
      <c r="S61" s="24">
        <f>gp_Plann_Sprint!M8</f>
        <v/>
      </c>
      <c r="T61" s="6" t="n"/>
      <c r="U61" s="6" t="n"/>
      <c r="V61" s="6" t="n"/>
      <c r="W61" s="6" t="n"/>
      <c r="X61" s="6" t="n"/>
      <c r="Y61" s="6" t="n"/>
      <c r="Z61" s="6" t="n"/>
      <c r="AA61" s="6" t="n"/>
      <c r="AB61" s="6" t="n"/>
      <c r="AC61" s="6" t="n"/>
      <c r="AD61" s="6" t="n"/>
      <c r="AF61" s="6" t="n"/>
      <c r="AH61" s="6" t="n"/>
      <c r="AI61" s="6" t="n"/>
      <c r="AJ61" s="6" t="n"/>
      <c r="AK61" s="6" t="n"/>
      <c r="AL61" s="6" t="n"/>
      <c r="AM61" s="6" t="n"/>
      <c r="AN61" s="6" t="n"/>
      <c r="AO61" s="6" t="n"/>
      <c r="AP61" s="6" t="n"/>
      <c r="AQ61" s="6" t="n"/>
      <c r="AR61" s="6" t="n"/>
      <c r="AS61" s="6" t="n"/>
      <c r="AT61" s="6" t="n"/>
      <c r="AU61" s="6" t="n"/>
      <c r="AV61" s="6" t="n"/>
      <c r="AW61" s="6" t="n"/>
      <c r="AX61" s="6" t="n"/>
      <c r="AY61" s="6" t="n"/>
      <c r="AZ61" s="6" t="n"/>
      <c r="BA61" s="6" t="n"/>
      <c r="BB61" s="6" t="n"/>
      <c r="BC61" s="6" t="n"/>
      <c r="BD61" s="6" t="n"/>
      <c r="BE61" s="6" t="n"/>
      <c r="BF61" s="6" t="n"/>
      <c r="BG61" s="6" t="n"/>
      <c r="BH61" s="6" t="n"/>
      <c r="BI61" s="6" t="n"/>
    </row>
    <row r="62" ht="15" customHeight="1">
      <c r="A62" s="6" t="n"/>
      <c r="C62" s="6" t="n"/>
      <c r="D62" s="31">
        <f>SUM(H62:P62)</f>
        <v/>
      </c>
      <c r="E62" s="16" t="n"/>
      <c r="F62" s="16" t="n"/>
      <c r="G62" s="70">
        <f>gp_Plann_Sprint!A9</f>
        <v/>
      </c>
      <c r="H62" s="24">
        <f>gp_Plann_Sprint!B9</f>
        <v/>
      </c>
      <c r="I62" s="24">
        <f>gp_Plann_Sprint!C9</f>
        <v/>
      </c>
      <c r="J62" s="24">
        <f>gp_Plann_Sprint!D9</f>
        <v/>
      </c>
      <c r="K62" s="24">
        <f>gp_Plann_Sprint!E9</f>
        <v/>
      </c>
      <c r="L62" s="24">
        <f>gp_Plann_Sprint!F9</f>
        <v/>
      </c>
      <c r="M62" s="24">
        <f>gp_Plann_Sprint!G9</f>
        <v/>
      </c>
      <c r="N62" s="24">
        <f>gp_Plann_Sprint!H9</f>
        <v/>
      </c>
      <c r="O62" s="24">
        <f>gp_Plann_Sprint!I9</f>
        <v/>
      </c>
      <c r="P62" s="24">
        <f>gp_Plann_Sprint!J9</f>
        <v/>
      </c>
      <c r="Q62" s="24">
        <f>gp_Plann_Sprint!K9</f>
        <v/>
      </c>
      <c r="R62" s="24">
        <f>gp_Plann_Sprint!L9</f>
        <v/>
      </c>
      <c r="S62" s="24">
        <f>gp_Plann_Sprint!M9</f>
        <v/>
      </c>
      <c r="T62" s="6" t="n"/>
      <c r="U62" s="6" t="n"/>
      <c r="V62" s="6" t="n"/>
      <c r="W62" s="6" t="n"/>
      <c r="X62" s="6" t="n"/>
      <c r="Y62" s="6" t="n"/>
      <c r="Z62" s="6" t="n"/>
      <c r="AA62" s="6" t="n"/>
      <c r="AB62" s="6" t="n"/>
      <c r="AC62" s="6" t="n"/>
      <c r="AD62" s="6" t="n"/>
      <c r="AF62" s="6" t="n"/>
      <c r="AH62" s="6" t="n"/>
      <c r="AI62" s="6" t="n"/>
      <c r="AJ62" s="6" t="n"/>
      <c r="AK62" s="6" t="n"/>
      <c r="AL62" s="6" t="n"/>
      <c r="AM62" s="6" t="n"/>
      <c r="AN62" s="6" t="n"/>
      <c r="AO62" s="6" t="n"/>
      <c r="AP62" s="6" t="n"/>
      <c r="AQ62" s="6" t="n"/>
      <c r="AR62" s="6" t="n"/>
      <c r="AS62" s="6" t="n"/>
      <c r="AT62" s="6" t="n"/>
      <c r="AU62" s="6" t="n"/>
      <c r="AV62" s="6" t="n"/>
      <c r="AW62" s="6" t="n"/>
      <c r="AX62" s="6" t="n"/>
      <c r="AY62" s="6" t="n"/>
      <c r="AZ62" s="6" t="n"/>
      <c r="BA62" s="6" t="n"/>
      <c r="BB62" s="6" t="n"/>
      <c r="BC62" s="6" t="n"/>
      <c r="BD62" s="6" t="n"/>
      <c r="BE62" s="6" t="n"/>
      <c r="BF62" s="6" t="n"/>
      <c r="BG62" s="6" t="n"/>
      <c r="BH62" s="6" t="n"/>
      <c r="BI62" s="6" t="n"/>
    </row>
    <row r="63" ht="15" customHeight="1">
      <c r="A63" s="6" t="n"/>
      <c r="C63" s="6" t="n"/>
      <c r="D63" s="31">
        <f>SUM(H63:P63)</f>
        <v/>
      </c>
      <c r="E63" s="16" t="n"/>
      <c r="F63" s="16" t="n"/>
      <c r="G63" s="70">
        <f>gp_Plann_Sprint!A10</f>
        <v/>
      </c>
      <c r="H63" s="24">
        <f>gp_Plann_Sprint!B10</f>
        <v/>
      </c>
      <c r="I63" s="24">
        <f>gp_Plann_Sprint!C10</f>
        <v/>
      </c>
      <c r="J63" s="24">
        <f>gp_Plann_Sprint!D10</f>
        <v/>
      </c>
      <c r="K63" s="24">
        <f>gp_Plann_Sprint!E10</f>
        <v/>
      </c>
      <c r="L63" s="24">
        <f>gp_Plann_Sprint!F10</f>
        <v/>
      </c>
      <c r="M63" s="24">
        <f>gp_Plann_Sprint!G10</f>
        <v/>
      </c>
      <c r="N63" s="24">
        <f>gp_Plann_Sprint!H10</f>
        <v/>
      </c>
      <c r="O63" s="24">
        <f>gp_Plann_Sprint!I10</f>
        <v/>
      </c>
      <c r="P63" s="24">
        <f>gp_Plann_Sprint!J10</f>
        <v/>
      </c>
      <c r="Q63" s="24">
        <f>gp_Plann_Sprint!K10</f>
        <v/>
      </c>
      <c r="R63" s="24">
        <f>gp_Plann_Sprint!L10</f>
        <v/>
      </c>
      <c r="S63" s="24">
        <f>gp_Plann_Sprint!M10</f>
        <v/>
      </c>
      <c r="T63" s="6" t="n"/>
      <c r="U63" s="6" t="n"/>
      <c r="V63" s="6" t="n"/>
      <c r="W63" s="6" t="n"/>
      <c r="X63" s="6" t="n"/>
      <c r="Y63" s="6" t="n"/>
      <c r="Z63" s="6" t="n"/>
      <c r="AA63" s="6" t="n"/>
      <c r="AB63" s="6" t="n"/>
      <c r="AC63" s="6" t="n"/>
      <c r="AD63" s="6" t="n"/>
      <c r="AF63" s="6" t="n"/>
      <c r="AH63" s="6" t="n"/>
      <c r="AI63" s="6" t="n"/>
      <c r="AJ63" s="6" t="n"/>
      <c r="AK63" s="6" t="n"/>
      <c r="AL63" s="6" t="n"/>
      <c r="AM63" s="6" t="n"/>
      <c r="AN63" s="6" t="n"/>
      <c r="AO63" s="6" t="n"/>
      <c r="AP63" s="6" t="n"/>
      <c r="AQ63" s="6" t="n"/>
      <c r="AR63" s="6" t="n"/>
      <c r="AS63" s="6" t="n"/>
      <c r="AT63" s="6" t="n"/>
      <c r="AU63" s="6" t="n"/>
      <c r="AV63" s="6" t="n"/>
      <c r="AW63" s="6" t="n"/>
      <c r="AX63" s="6" t="n"/>
      <c r="AY63" s="6" t="n"/>
      <c r="AZ63" s="6" t="n"/>
      <c r="BA63" s="6" t="n"/>
      <c r="BB63" s="6" t="n"/>
      <c r="BC63" s="6" t="n"/>
      <c r="BD63" s="6" t="n"/>
      <c r="BE63" s="6" t="n"/>
      <c r="BF63" s="6" t="n"/>
      <c r="BG63" s="6" t="n"/>
      <c r="BH63" s="6" t="n"/>
      <c r="BI63" s="6" t="n"/>
    </row>
    <row r="64" ht="15" customHeight="1">
      <c r="A64" s="6" t="n"/>
      <c r="C64" s="6" t="n"/>
      <c r="D64" s="31">
        <f>SUM(H64:P64)</f>
        <v/>
      </c>
      <c r="E64" s="16" t="n"/>
      <c r="F64" s="16" t="n"/>
      <c r="G64" s="70">
        <f>gp_Plann_Sprint!A11</f>
        <v/>
      </c>
      <c r="H64" s="24">
        <f>gp_Plann_Sprint!B11</f>
        <v/>
      </c>
      <c r="I64" s="24">
        <f>gp_Plann_Sprint!C11</f>
        <v/>
      </c>
      <c r="J64" s="24">
        <f>gp_Plann_Sprint!D11</f>
        <v/>
      </c>
      <c r="K64" s="24">
        <f>gp_Plann_Sprint!E11</f>
        <v/>
      </c>
      <c r="L64" s="24">
        <f>gp_Plann_Sprint!F11</f>
        <v/>
      </c>
      <c r="M64" s="24">
        <f>gp_Plann_Sprint!G11</f>
        <v/>
      </c>
      <c r="N64" s="24">
        <f>gp_Plann_Sprint!H11</f>
        <v/>
      </c>
      <c r="O64" s="24">
        <f>gp_Plann_Sprint!I11</f>
        <v/>
      </c>
      <c r="P64" s="24">
        <f>gp_Plann_Sprint!J11</f>
        <v/>
      </c>
      <c r="Q64" s="24">
        <f>gp_Plann_Sprint!K11</f>
        <v/>
      </c>
      <c r="R64" s="24">
        <f>gp_Plann_Sprint!L11</f>
        <v/>
      </c>
      <c r="S64" s="24">
        <f>gp_Plann_Sprint!M11</f>
        <v/>
      </c>
      <c r="T64" s="6" t="n"/>
      <c r="U64" s="6" t="n"/>
      <c r="V64" s="6" t="n"/>
      <c r="W64" s="6" t="n"/>
      <c r="X64" s="6" t="n"/>
      <c r="Y64" s="6" t="n"/>
      <c r="Z64" s="6" t="n"/>
      <c r="AA64" s="6" t="n"/>
      <c r="AB64" s="6" t="n"/>
      <c r="AC64" s="6" t="n"/>
      <c r="AD64" s="6" t="n"/>
      <c r="AF64" s="6" t="n"/>
      <c r="AH64" s="6" t="n"/>
      <c r="AI64" s="6" t="n"/>
      <c r="AJ64" s="6" t="n"/>
      <c r="AK64" s="6" t="n"/>
      <c r="AL64" s="6" t="n"/>
      <c r="AM64" s="6" t="n"/>
      <c r="AN64" s="6" t="n"/>
      <c r="AO64" s="6" t="n"/>
      <c r="AP64" s="6" t="n"/>
      <c r="AQ64" s="6" t="n"/>
      <c r="AR64" s="6" t="n"/>
      <c r="AS64" s="6" t="n"/>
      <c r="AT64" s="6" t="n"/>
      <c r="AU64" s="6" t="n"/>
      <c r="AV64" s="6" t="n"/>
      <c r="AW64" s="6" t="n"/>
      <c r="AX64" s="6" t="n"/>
      <c r="AY64" s="6" t="n"/>
      <c r="AZ64" s="6" t="n"/>
      <c r="BA64" s="6" t="n"/>
      <c r="BB64" s="6" t="n"/>
      <c r="BC64" s="6" t="n"/>
      <c r="BD64" s="6" t="n"/>
      <c r="BE64" s="6" t="n"/>
      <c r="BF64" s="6" t="n"/>
      <c r="BG64" s="6" t="n"/>
      <c r="BH64" s="6" t="n"/>
      <c r="BI64" s="6" t="n"/>
    </row>
    <row r="65" ht="15" customHeight="1">
      <c r="A65" s="6" t="n"/>
      <c r="C65" s="6" t="n"/>
      <c r="D65" s="31">
        <f>SUM(H65:P65)</f>
        <v/>
      </c>
      <c r="E65" s="16" t="n"/>
      <c r="F65" s="16" t="n"/>
      <c r="G65" s="17">
        <f>gp_Plann_Sprint!A12</f>
        <v/>
      </c>
      <c r="H65" s="24">
        <f>gp_Plann_Sprint!B12</f>
        <v/>
      </c>
      <c r="I65" s="24">
        <f>gp_Plann_Sprint!C12</f>
        <v/>
      </c>
      <c r="J65" s="24">
        <f>gp_Plann_Sprint!D12</f>
        <v/>
      </c>
      <c r="K65" s="24">
        <f>gp_Plann_Sprint!E12</f>
        <v/>
      </c>
      <c r="L65" s="24">
        <f>gp_Plann_Sprint!F12</f>
        <v/>
      </c>
      <c r="M65" s="24">
        <f>gp_Plann_Sprint!G12</f>
        <v/>
      </c>
      <c r="N65" s="24">
        <f>gp_Plann_Sprint!H12</f>
        <v/>
      </c>
      <c r="O65" s="24">
        <f>gp_Plann_Sprint!I12</f>
        <v/>
      </c>
      <c r="P65" s="24">
        <f>gp_Plann_Sprint!J12</f>
        <v/>
      </c>
      <c r="Q65" s="24">
        <f>gp_Plann_Sprint!K12</f>
        <v/>
      </c>
      <c r="R65" s="24">
        <f>gp_Plann_Sprint!L12</f>
        <v/>
      </c>
      <c r="S65" s="24">
        <f>gp_Plann_Sprint!M12</f>
        <v/>
      </c>
      <c r="T65" s="6" t="n"/>
      <c r="U65" s="6" t="n"/>
      <c r="V65" s="6" t="n"/>
      <c r="W65" s="6" t="n"/>
      <c r="X65" s="6" t="n"/>
      <c r="Y65" s="6" t="n"/>
      <c r="Z65" s="6" t="n"/>
      <c r="AA65" s="6" t="n"/>
      <c r="AB65" s="6" t="n"/>
      <c r="AC65" s="6" t="n"/>
      <c r="AD65" s="6" t="n"/>
      <c r="AF65" s="6" t="n"/>
      <c r="AH65" s="6" t="n"/>
      <c r="AI65" s="6" t="n"/>
      <c r="AJ65" s="6" t="n"/>
      <c r="AK65" s="6" t="n"/>
      <c r="AL65" s="6" t="n"/>
      <c r="AM65" s="6" t="n"/>
      <c r="AN65" s="6" t="n"/>
      <c r="AO65" s="6" t="n"/>
      <c r="AP65" s="6" t="n"/>
      <c r="AQ65" s="6" t="n"/>
      <c r="AR65" s="6" t="n"/>
      <c r="AS65" s="6" t="n"/>
      <c r="AT65" s="6" t="n"/>
      <c r="AU65" s="6" t="n"/>
      <c r="AV65" s="6" t="n"/>
      <c r="AW65" s="6" t="n"/>
      <c r="AX65" s="6" t="n"/>
      <c r="AY65" s="6" t="n"/>
      <c r="AZ65" s="6" t="n"/>
      <c r="BA65" s="6" t="n"/>
      <c r="BB65" s="6" t="n"/>
      <c r="BC65" s="6" t="n"/>
      <c r="BD65" s="6" t="n"/>
      <c r="BE65" s="6" t="n"/>
      <c r="BF65" s="6" t="n"/>
      <c r="BG65" s="6" t="n"/>
      <c r="BH65" s="6" t="n"/>
      <c r="BI65" s="6" t="n"/>
    </row>
    <row r="66" ht="15" customHeight="1">
      <c r="A66" s="6" t="n"/>
      <c r="C66" s="6" t="n"/>
      <c r="D66" s="39">
        <f>SUM(H66:P66)</f>
        <v/>
      </c>
      <c r="E66" s="19" t="n"/>
      <c r="F66" s="19" t="n"/>
      <c r="G66" s="20" t="inlineStr">
        <is>
          <t>Mensuração (maior esforço individual)</t>
        </is>
      </c>
      <c r="H66" s="26">
        <f>LARGE(H55:H65,1)</f>
        <v/>
      </c>
      <c r="I66" s="26">
        <f>LARGE(I55:I65,1)</f>
        <v/>
      </c>
      <c r="J66" s="26">
        <f>LARGE(J55:J65,1)</f>
        <v/>
      </c>
      <c r="K66" s="26">
        <f>LARGE(K55:K65,1)</f>
        <v/>
      </c>
      <c r="L66" s="26">
        <f>LARGE(L55:L65,1)</f>
        <v/>
      </c>
      <c r="M66" s="26">
        <f>LARGE(M55:M65,1)</f>
        <v/>
      </c>
      <c r="N66" s="26">
        <f>LARGE(N55:N65,1)</f>
        <v/>
      </c>
      <c r="O66" s="26">
        <f>LARGE(O55:O65,1)</f>
        <v/>
      </c>
      <c r="P66" s="26">
        <f>LARGE(P55:P65,1)</f>
        <v/>
      </c>
      <c r="Q66" s="26">
        <f>LARGE(Q55:Q65,1)</f>
        <v/>
      </c>
      <c r="R66" s="26">
        <f>LARGE(R55:R65,1)</f>
        <v/>
      </c>
      <c r="S66" s="26">
        <f>LARGE(S55:S65,1)</f>
        <v/>
      </c>
      <c r="T66" s="6" t="n"/>
      <c r="U66" s="6" t="n"/>
      <c r="V66" s="6" t="n"/>
      <c r="W66" s="6" t="n"/>
      <c r="X66" s="6" t="n"/>
      <c r="Y66" s="6" t="n"/>
      <c r="Z66" s="6" t="n"/>
      <c r="AA66" s="6" t="n"/>
      <c r="AB66" s="6" t="n"/>
      <c r="AC66" s="6" t="n"/>
      <c r="AD66" s="6" t="n"/>
      <c r="AF66" s="6" t="n"/>
      <c r="AH66" s="6" t="n"/>
      <c r="AI66" s="6" t="n"/>
      <c r="AJ66" s="6" t="n"/>
      <c r="AK66" s="6" t="n"/>
      <c r="AL66" s="6" t="n"/>
      <c r="AM66" s="6" t="n"/>
      <c r="AN66" s="6" t="n"/>
      <c r="AO66" s="6" t="n"/>
      <c r="AP66" s="6" t="n"/>
      <c r="AQ66" s="6" t="n"/>
      <c r="AR66" s="6" t="n"/>
      <c r="AS66" s="6" t="n"/>
      <c r="AT66" s="6" t="n"/>
      <c r="AU66" s="6" t="n"/>
      <c r="AV66" s="6" t="n"/>
      <c r="AW66" s="6" t="n"/>
      <c r="AX66" s="6" t="n"/>
      <c r="AY66" s="6" t="n"/>
      <c r="AZ66" s="6" t="n"/>
      <c r="BA66" s="6" t="n"/>
      <c r="BB66" s="6" t="n"/>
      <c r="BC66" s="6" t="n"/>
      <c r="BD66" s="6" t="n"/>
      <c r="BE66" s="6" t="n"/>
      <c r="BF66" s="6" t="n"/>
      <c r="BG66" s="6" t="n"/>
      <c r="BH66" s="6" t="n"/>
      <c r="BI66" s="6" t="n"/>
    </row>
    <row r="67" ht="15" customHeight="1">
      <c r="A67" s="6" t="n"/>
      <c r="C67" s="6" t="n"/>
      <c r="D67" s="38">
        <f>SUM(H67:P67)</f>
        <v/>
      </c>
      <c r="E67" s="19" t="n"/>
      <c r="F67" s="19" t="n"/>
      <c r="G67" s="20" t="inlineStr">
        <is>
          <t>Throughput - Qtd Storypoints</t>
        </is>
      </c>
      <c r="H67" s="26">
        <f>SUM(H55:H65)</f>
        <v/>
      </c>
      <c r="I67" s="26">
        <f>SUM(I55:I65)</f>
        <v/>
      </c>
      <c r="J67" s="26">
        <f>SUM(J55:J65)</f>
        <v/>
      </c>
      <c r="K67" s="26">
        <f>SUM(K55:K65)</f>
        <v/>
      </c>
      <c r="L67" s="26">
        <f>SUM(L55:L65)</f>
        <v/>
      </c>
      <c r="M67" s="26">
        <f>SUM(M55:M65)</f>
        <v/>
      </c>
      <c r="N67" s="26">
        <f>SUM(N55:N65)</f>
        <v/>
      </c>
      <c r="O67" s="26">
        <f>SUM(O55:O65)</f>
        <v/>
      </c>
      <c r="P67" s="26">
        <f>SUM(P55:P65)</f>
        <v/>
      </c>
      <c r="Q67" s="26">
        <f>SUM(Q55:Q65)</f>
        <v/>
      </c>
      <c r="R67" s="26">
        <f>SUM(R55:R65)</f>
        <v/>
      </c>
      <c r="S67" s="26">
        <f>SUM(S55:S65)</f>
        <v/>
      </c>
      <c r="T67" s="6" t="n"/>
      <c r="U67" s="6" t="n"/>
      <c r="V67" s="6" t="n"/>
      <c r="W67" s="6" t="n"/>
      <c r="X67" s="6" t="n"/>
      <c r="Y67" s="6" t="n"/>
      <c r="Z67" s="6" t="n"/>
      <c r="AA67" s="6" t="n"/>
      <c r="AB67" s="6" t="n"/>
      <c r="AC67" s="6" t="n"/>
      <c r="AD67" s="6" t="n"/>
      <c r="AF67" s="6" t="n"/>
      <c r="AH67" s="6" t="n"/>
      <c r="AI67" s="6" t="n"/>
      <c r="AJ67" s="6" t="n"/>
      <c r="AK67" s="6" t="n"/>
      <c r="AL67" s="6" t="n"/>
      <c r="AM67" s="6" t="n"/>
      <c r="AN67" s="6" t="n"/>
      <c r="AO67" s="6" t="n"/>
      <c r="AP67" s="6" t="n"/>
      <c r="AQ67" s="6" t="n"/>
      <c r="AR67" s="6" t="n"/>
      <c r="AS67" s="6" t="n"/>
      <c r="AT67" s="6" t="n"/>
      <c r="AU67" s="6" t="n"/>
      <c r="AV67" s="6" t="n"/>
      <c r="AW67" s="6" t="n"/>
      <c r="AX67" s="6" t="n"/>
      <c r="AY67" s="6" t="n"/>
      <c r="AZ67" s="6" t="n"/>
      <c r="BA67" s="6" t="n"/>
      <c r="BB67" s="6" t="n"/>
      <c r="BC67" s="6" t="n"/>
      <c r="BD67" s="6" t="n"/>
      <c r="BE67" s="6" t="n"/>
      <c r="BF67" s="6" t="n"/>
      <c r="BG67" s="6" t="n"/>
      <c r="BH67" s="6" t="n"/>
      <c r="BI67" s="6" t="n"/>
    </row>
    <row r="68" ht="15" customHeight="1">
      <c r="A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c r="AA68" s="6" t="n"/>
      <c r="AB68" s="6" t="n"/>
      <c r="AC68" s="6" t="n"/>
      <c r="AD68" s="6" t="n"/>
      <c r="AF68" s="6" t="n"/>
      <c r="AH68" s="6" t="n"/>
      <c r="AI68" s="6" t="n"/>
      <c r="AJ68" s="6" t="n"/>
      <c r="AK68" s="6" t="n"/>
      <c r="AL68" s="6" t="n"/>
      <c r="AM68" s="6" t="n"/>
      <c r="AN68" s="6" t="n"/>
      <c r="AO68" s="6" t="n"/>
      <c r="AP68" s="6" t="n"/>
      <c r="AQ68" s="6" t="n"/>
      <c r="AR68" s="6" t="n"/>
      <c r="AS68" s="6" t="n"/>
      <c r="AT68" s="6" t="n"/>
      <c r="AU68" s="6" t="n"/>
      <c r="AV68" s="6" t="n"/>
      <c r="AW68" s="6" t="n"/>
      <c r="AX68" s="6" t="n"/>
      <c r="AY68" s="6" t="n"/>
      <c r="AZ68" s="6" t="n"/>
      <c r="BA68" s="6" t="n"/>
      <c r="BB68" s="6" t="n"/>
      <c r="BC68" s="6" t="n"/>
      <c r="BD68" s="6" t="n"/>
      <c r="BE68" s="6" t="n"/>
      <c r="BF68" s="6" t="n"/>
      <c r="BG68" s="6" t="n"/>
      <c r="BH68" s="6" t="n"/>
      <c r="BI68" s="6" t="n"/>
    </row>
    <row r="69" ht="15" customHeight="1">
      <c r="A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c r="AA69" s="6" t="n"/>
      <c r="AB69" s="6" t="n"/>
      <c r="AC69" s="6" t="n"/>
      <c r="AD69" s="6" t="n"/>
      <c r="AF69" s="6" t="n"/>
      <c r="AH69" s="6" t="n"/>
      <c r="AI69" s="6" t="n"/>
      <c r="AJ69" s="6" t="n"/>
      <c r="AK69" s="6" t="n"/>
      <c r="AL69" s="6" t="n"/>
      <c r="AM69" s="6" t="n"/>
      <c r="AN69" s="6" t="n"/>
      <c r="AO69" s="6" t="n"/>
      <c r="AP69" s="6" t="n"/>
      <c r="AQ69" s="6" t="n"/>
      <c r="AR69" s="6" t="n"/>
      <c r="AS69" s="6" t="n"/>
      <c r="AT69" s="6" t="n"/>
      <c r="AU69" s="6" t="n"/>
      <c r="AV69" s="6" t="n"/>
      <c r="AW69" s="6" t="n"/>
      <c r="AX69" s="6" t="n"/>
      <c r="AY69" s="6" t="n"/>
      <c r="AZ69" s="6" t="n"/>
      <c r="BA69" s="6" t="n"/>
      <c r="BB69" s="6" t="n"/>
      <c r="BC69" s="6" t="n"/>
      <c r="BD69" s="6" t="n"/>
      <c r="BE69" s="6" t="n"/>
      <c r="BF69" s="6" t="n"/>
      <c r="BG69" s="6" t="n"/>
      <c r="BH69" s="6" t="n"/>
      <c r="BI69" s="6" t="n"/>
    </row>
    <row r="70" ht="15" customHeight="1">
      <c r="A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c r="AA70" s="6" t="n"/>
      <c r="AB70" s="6" t="n"/>
      <c r="AC70" s="6" t="n"/>
      <c r="AD70" s="6" t="n"/>
      <c r="AF70" s="6" t="n"/>
      <c r="AH70" s="6" t="n"/>
      <c r="AI70" s="6" t="n"/>
      <c r="AJ70" s="6" t="n"/>
      <c r="AK70" s="6" t="n"/>
      <c r="AL70" s="6" t="n"/>
      <c r="AM70" s="6" t="n"/>
      <c r="AN70" s="6" t="n"/>
      <c r="AO70" s="6" t="n"/>
      <c r="AP70" s="6" t="n"/>
      <c r="AQ70" s="6" t="n"/>
      <c r="AR70" s="6" t="n"/>
      <c r="AS70" s="6" t="n"/>
      <c r="AT70" s="6" t="n"/>
      <c r="AU70" s="6" t="n"/>
      <c r="AV70" s="6" t="n"/>
      <c r="AW70" s="6" t="n"/>
      <c r="AX70" s="6" t="n"/>
      <c r="AY70" s="6" t="n"/>
      <c r="AZ70" s="6" t="n"/>
      <c r="BA70" s="6" t="n"/>
      <c r="BB70" s="6" t="n"/>
      <c r="BC70" s="6" t="n"/>
      <c r="BD70" s="6" t="n"/>
      <c r="BE70" s="6" t="n"/>
      <c r="BF70" s="6" t="n"/>
      <c r="BG70" s="6" t="n"/>
      <c r="BH70" s="6" t="n"/>
      <c r="BI70" s="6" t="n"/>
    </row>
    <row r="71" ht="15" customHeight="1">
      <c r="A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c r="AA71" s="6" t="n"/>
      <c r="AB71" s="6" t="n"/>
      <c r="AC71" s="6" t="n"/>
      <c r="AD71" s="6" t="n"/>
      <c r="AF71" s="6" t="n"/>
      <c r="AH71" s="6" t="n"/>
      <c r="AI71" s="6" t="n"/>
      <c r="AJ71" s="6" t="n"/>
      <c r="AK71" s="6" t="n"/>
      <c r="AL71" s="6" t="n"/>
      <c r="AM71" s="6" t="n"/>
      <c r="AN71" s="6" t="n"/>
      <c r="AO71" s="6" t="n"/>
      <c r="AP71" s="6" t="n"/>
      <c r="AQ71" s="6" t="n"/>
      <c r="AR71" s="6" t="n"/>
      <c r="AS71" s="6" t="n"/>
      <c r="AT71" s="6" t="n"/>
      <c r="AU71" s="6" t="n"/>
      <c r="AV71" s="6" t="n"/>
      <c r="AW71" s="6" t="n"/>
      <c r="AX71" s="6" t="n"/>
      <c r="AY71" s="6" t="n"/>
      <c r="AZ71" s="6" t="n"/>
      <c r="BA71" s="6" t="n"/>
      <c r="BB71" s="6" t="n"/>
      <c r="BC71" s="6" t="n"/>
      <c r="BD71" s="6" t="n"/>
      <c r="BE71" s="6" t="n"/>
      <c r="BF71" s="6" t="n"/>
      <c r="BG71" s="6" t="n"/>
      <c r="BH71" s="6" t="n"/>
      <c r="BI71" s="6" t="n"/>
    </row>
    <row r="72" ht="15" customHeight="1">
      <c r="A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c r="AA72" s="6" t="n"/>
      <c r="AB72" s="6" t="n"/>
      <c r="AC72" s="6" t="n"/>
      <c r="AD72" s="6" t="n"/>
      <c r="AF72" s="6" t="n"/>
      <c r="AH72" s="6" t="n"/>
      <c r="AI72" s="6" t="n"/>
      <c r="AJ72" s="6" t="n"/>
      <c r="AK72" s="6" t="n"/>
      <c r="AL72" s="6" t="n"/>
      <c r="AM72" s="6" t="n"/>
      <c r="AN72" s="6" t="n"/>
      <c r="AO72" s="6" t="n"/>
      <c r="AP72" s="6" t="n"/>
      <c r="AQ72" s="6" t="n"/>
      <c r="AR72" s="6" t="n"/>
      <c r="AS72" s="6" t="n"/>
      <c r="AT72" s="6" t="n"/>
      <c r="AU72" s="6" t="n"/>
      <c r="AV72" s="6" t="n"/>
      <c r="AW72" s="6" t="n"/>
      <c r="AX72" s="6" t="n"/>
      <c r="AY72" s="6" t="n"/>
      <c r="AZ72" s="6" t="n"/>
      <c r="BA72" s="6" t="n"/>
      <c r="BB72" s="6" t="n"/>
      <c r="BC72" s="6" t="n"/>
      <c r="BD72" s="6" t="n"/>
      <c r="BE72" s="6" t="n"/>
      <c r="BF72" s="6" t="n"/>
      <c r="BG72" s="6" t="n"/>
      <c r="BH72" s="6" t="n"/>
      <c r="BI72" s="6" t="n"/>
    </row>
    <row r="73" ht="15" customHeight="1">
      <c r="A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c r="AA73" s="6" t="n"/>
      <c r="AB73" s="6" t="n"/>
      <c r="AC73" s="6" t="n"/>
      <c r="AD73" s="6" t="n"/>
      <c r="AF73" s="6" t="n"/>
      <c r="AH73" s="6" t="n"/>
      <c r="AI73" s="6" t="n"/>
      <c r="AJ73" s="6" t="n"/>
      <c r="AK73" s="6" t="n"/>
      <c r="AL73" s="6" t="n"/>
      <c r="AM73" s="6" t="n"/>
      <c r="AN73" s="6" t="n"/>
      <c r="AO73" s="6" t="n"/>
      <c r="AP73" s="6" t="n"/>
      <c r="AQ73" s="6" t="n"/>
      <c r="AR73" s="6" t="n"/>
      <c r="AS73" s="6" t="n"/>
      <c r="AT73" s="6" t="n"/>
      <c r="AU73" s="6" t="n"/>
      <c r="AV73" s="6" t="n"/>
      <c r="AW73" s="6" t="n"/>
      <c r="AX73" s="6" t="n"/>
      <c r="AY73" s="6" t="n"/>
      <c r="AZ73" s="6" t="n"/>
      <c r="BA73" s="6" t="n"/>
      <c r="BB73" s="6" t="n"/>
      <c r="BC73" s="6" t="n"/>
      <c r="BD73" s="6" t="n"/>
      <c r="BE73" s="6" t="n"/>
      <c r="BF73" s="6" t="n"/>
      <c r="BG73" s="6" t="n"/>
      <c r="BH73" s="6" t="n"/>
      <c r="BI73" s="6" t="n"/>
    </row>
    <row r="74" ht="15" customHeight="1">
      <c r="A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c r="AA74" s="6" t="n"/>
      <c r="AB74" s="6" t="n"/>
      <c r="AC74" s="6" t="n"/>
      <c r="AD74" s="6" t="n"/>
      <c r="AF74" s="6" t="n"/>
      <c r="AH74" s="6" t="n"/>
      <c r="AI74" s="6" t="n"/>
      <c r="AJ74" s="6" t="n"/>
      <c r="AK74" s="6" t="n"/>
      <c r="AL74" s="6" t="n"/>
      <c r="AM74" s="6" t="n"/>
      <c r="AN74" s="6" t="n"/>
      <c r="AO74" s="6" t="n"/>
      <c r="AP74" s="6" t="n"/>
      <c r="AQ74" s="6" t="n"/>
      <c r="AR74" s="6" t="n"/>
      <c r="AS74" s="6" t="n"/>
      <c r="AT74" s="6" t="n"/>
      <c r="AU74" s="6" t="n"/>
      <c r="AV74" s="6" t="n"/>
      <c r="AW74" s="6" t="n"/>
      <c r="AX74" s="6" t="n"/>
      <c r="AY74" s="6" t="n"/>
      <c r="AZ74" s="6" t="n"/>
      <c r="BA74" s="6" t="n"/>
      <c r="BB74" s="6" t="n"/>
      <c r="BC74" s="6" t="n"/>
      <c r="BD74" s="6" t="n"/>
      <c r="BE74" s="6" t="n"/>
      <c r="BF74" s="6" t="n"/>
      <c r="BG74" s="6" t="n"/>
      <c r="BH74" s="6" t="n"/>
      <c r="BI74" s="6" t="n"/>
    </row>
    <row r="75" ht="15" customHeight="1">
      <c r="A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c r="AA75" s="6" t="n"/>
      <c r="AB75" s="6" t="n"/>
      <c r="AC75" s="6" t="n"/>
      <c r="AD75" s="6" t="n"/>
      <c r="AF75" s="6" t="n"/>
      <c r="AH75" s="6" t="n"/>
      <c r="AI75" s="6" t="n"/>
      <c r="AJ75" s="6" t="n"/>
      <c r="AK75" s="6" t="n"/>
      <c r="AL75" s="6" t="n"/>
      <c r="AM75" s="6" t="n"/>
      <c r="AN75" s="6" t="n"/>
      <c r="AO75" s="6" t="n"/>
      <c r="AP75" s="6" t="n"/>
      <c r="AQ75" s="6" t="n"/>
      <c r="AR75" s="6" t="n"/>
      <c r="AS75" s="6" t="n"/>
      <c r="AT75" s="6" t="n"/>
      <c r="AU75" s="6" t="n"/>
      <c r="AV75" s="6" t="n"/>
      <c r="AW75" s="6" t="n"/>
      <c r="AX75" s="6" t="n"/>
      <c r="AY75" s="6" t="n"/>
      <c r="AZ75" s="6" t="n"/>
      <c r="BA75" s="6" t="n"/>
      <c r="BB75" s="6" t="n"/>
      <c r="BC75" s="6" t="n"/>
      <c r="BD75" s="6" t="n"/>
      <c r="BE75" s="6" t="n"/>
      <c r="BF75" s="6" t="n"/>
      <c r="BG75" s="6" t="n"/>
      <c r="BH75" s="6" t="n"/>
      <c r="BI75" s="6" t="n"/>
    </row>
    <row r="76" ht="15" customHeight="1">
      <c r="A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c r="AA76" s="6" t="n"/>
      <c r="AB76" s="6" t="n"/>
      <c r="AC76" s="6" t="n"/>
      <c r="AD76" s="6" t="n"/>
      <c r="AF76" s="6" t="n"/>
      <c r="AH76" s="6" t="n"/>
      <c r="AI76" s="6" t="n"/>
      <c r="AJ76" s="6" t="n"/>
      <c r="AK76" s="6" t="n"/>
      <c r="AL76" s="6" t="n"/>
      <c r="AM76" s="6" t="n"/>
      <c r="AN76" s="6" t="n"/>
      <c r="AO76" s="6" t="n"/>
      <c r="AP76" s="6" t="n"/>
      <c r="AQ76" s="6" t="n"/>
      <c r="AR76" s="6" t="n"/>
      <c r="AS76" s="6" t="n"/>
      <c r="AT76" s="6" t="n"/>
      <c r="AU76" s="6" t="n"/>
      <c r="AV76" s="6" t="n"/>
      <c r="AW76" s="6" t="n"/>
      <c r="AX76" s="6" t="n"/>
      <c r="AY76" s="6" t="n"/>
      <c r="AZ76" s="6" t="n"/>
      <c r="BA76" s="6" t="n"/>
      <c r="BB76" s="6" t="n"/>
      <c r="BC76" s="6" t="n"/>
      <c r="BD76" s="6" t="n"/>
      <c r="BE76" s="6" t="n"/>
      <c r="BF76" s="6" t="n"/>
      <c r="BG76" s="6" t="n"/>
      <c r="BH76" s="6" t="n"/>
      <c r="BI76" s="6" t="n"/>
    </row>
    <row r="77" ht="15" customHeight="1">
      <c r="A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c r="AA77" s="6" t="n"/>
      <c r="AB77" s="6" t="n"/>
      <c r="AC77" s="6" t="n"/>
      <c r="AD77" s="6" t="n"/>
      <c r="AF77" s="6" t="n"/>
      <c r="AH77" s="6" t="n"/>
      <c r="AI77" s="6" t="n"/>
      <c r="AJ77" s="6" t="n"/>
      <c r="AK77" s="6" t="n"/>
      <c r="AL77" s="6" t="n"/>
      <c r="AM77" s="6" t="n"/>
      <c r="AN77" s="6" t="n"/>
      <c r="AO77" s="6" t="n"/>
      <c r="AP77" s="6" t="n"/>
      <c r="AQ77" s="6" t="n"/>
      <c r="AR77" s="6" t="n"/>
      <c r="AS77" s="6" t="n"/>
      <c r="AT77" s="6" t="n"/>
      <c r="AU77" s="6" t="n"/>
      <c r="AV77" s="6" t="n"/>
      <c r="AW77" s="6" t="n"/>
      <c r="AX77" s="6" t="n"/>
      <c r="AY77" s="6" t="n"/>
      <c r="AZ77" s="6" t="n"/>
      <c r="BA77" s="6" t="n"/>
      <c r="BB77" s="6" t="n"/>
      <c r="BC77" s="6" t="n"/>
      <c r="BD77" s="6" t="n"/>
      <c r="BE77" s="6" t="n"/>
      <c r="BF77" s="6" t="n"/>
      <c r="BG77" s="6" t="n"/>
      <c r="BH77" s="6" t="n"/>
      <c r="BI77" s="6" t="n"/>
    </row>
    <row r="78" ht="15" customHeight="1">
      <c r="A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c r="AA78" s="6" t="n"/>
      <c r="AB78" s="6" t="n"/>
      <c r="AC78" s="6" t="n"/>
      <c r="AD78" s="6" t="n"/>
      <c r="AF78" s="6" t="n"/>
      <c r="AH78" s="6" t="n"/>
      <c r="AI78" s="6" t="n"/>
      <c r="AJ78" s="6" t="n"/>
      <c r="AK78" s="6" t="n"/>
      <c r="AL78" s="6" t="n"/>
      <c r="AM78" s="6" t="n"/>
      <c r="AN78" s="6" t="n"/>
      <c r="AO78" s="6" t="n"/>
      <c r="AP78" s="6" t="n"/>
      <c r="AQ78" s="6" t="n"/>
      <c r="AR78" s="6" t="n"/>
      <c r="AS78" s="6" t="n"/>
      <c r="AT78" s="6" t="n"/>
      <c r="AU78" s="6" t="n"/>
      <c r="AV78" s="6" t="n"/>
      <c r="AW78" s="6" t="n"/>
      <c r="AX78" s="6" t="n"/>
      <c r="AY78" s="6" t="n"/>
      <c r="AZ78" s="6" t="n"/>
      <c r="BA78" s="6" t="n"/>
      <c r="BB78" s="6" t="n"/>
      <c r="BC78" s="6" t="n"/>
      <c r="BD78" s="6" t="n"/>
      <c r="BE78" s="6" t="n"/>
      <c r="BF78" s="6" t="n"/>
      <c r="BG78" s="6" t="n"/>
      <c r="BH78" s="6" t="n"/>
      <c r="BI78" s="6" t="n"/>
    </row>
    <row r="79" ht="15" customHeight="1">
      <c r="A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c r="AA79" s="6" t="n"/>
      <c r="AB79" s="6" t="n"/>
      <c r="AC79" s="6" t="n"/>
      <c r="AD79" s="6" t="n"/>
      <c r="AF79" s="6" t="n"/>
      <c r="AH79" s="6" t="n"/>
      <c r="AI79" s="6" t="n"/>
      <c r="AJ79" s="6" t="n"/>
      <c r="AK79" s="6" t="n"/>
      <c r="AL79" s="6" t="n"/>
      <c r="AM79" s="6" t="n"/>
      <c r="AN79" s="6" t="n"/>
      <c r="AO79" s="6" t="n"/>
      <c r="AP79" s="6" t="n"/>
      <c r="AQ79" s="6" t="n"/>
      <c r="AR79" s="6" t="n"/>
      <c r="AS79" s="6" t="n"/>
      <c r="AT79" s="6" t="n"/>
      <c r="AU79" s="6" t="n"/>
      <c r="AV79" s="6" t="n"/>
      <c r="AW79" s="6" t="n"/>
      <c r="AX79" s="6" t="n"/>
      <c r="AY79" s="6" t="n"/>
      <c r="AZ79" s="6" t="n"/>
      <c r="BA79" s="6" t="n"/>
      <c r="BB79" s="6" t="n"/>
      <c r="BC79" s="6" t="n"/>
      <c r="BD79" s="6" t="n"/>
      <c r="BE79" s="6" t="n"/>
      <c r="BF79" s="6" t="n"/>
      <c r="BG79" s="6" t="n"/>
      <c r="BH79" s="6" t="n"/>
      <c r="BI79" s="6" t="n"/>
    </row>
    <row r="80" ht="15" customHeight="1">
      <c r="A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c r="AA80" s="6" t="n"/>
      <c r="AB80" s="6" t="n"/>
      <c r="AC80" s="6" t="n"/>
      <c r="AD80" s="6" t="n"/>
      <c r="AF80" s="6" t="n"/>
      <c r="AH80" s="6" t="n"/>
      <c r="AI80" s="6" t="n"/>
      <c r="AJ80" s="6" t="n"/>
      <c r="AK80" s="6" t="n"/>
      <c r="AL80" s="6" t="n"/>
      <c r="AM80" s="6" t="n"/>
      <c r="AN80" s="6" t="n"/>
      <c r="AO80" s="6" t="n"/>
      <c r="AP80" s="6" t="n"/>
      <c r="AQ80" s="6" t="n"/>
      <c r="AR80" s="6" t="n"/>
      <c r="AS80" s="6" t="n"/>
      <c r="AT80" s="6" t="n"/>
      <c r="AU80" s="6" t="n"/>
      <c r="AV80" s="6" t="n"/>
      <c r="AW80" s="6" t="n"/>
      <c r="AX80" s="6" t="n"/>
      <c r="AY80" s="6" t="n"/>
      <c r="AZ80" s="6" t="n"/>
      <c r="BA80" s="6" t="n"/>
      <c r="BB80" s="6" t="n"/>
      <c r="BC80" s="6" t="n"/>
      <c r="BD80" s="6" t="n"/>
      <c r="BE80" s="6" t="n"/>
      <c r="BF80" s="6" t="n"/>
      <c r="BG80" s="6" t="n"/>
      <c r="BH80" s="6" t="n"/>
      <c r="BI80" s="6" t="n"/>
    </row>
    <row r="81" ht="15" customHeight="1">
      <c r="A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c r="AA81" s="6" t="n"/>
      <c r="AB81" s="6" t="n"/>
      <c r="AC81" s="6" t="n"/>
      <c r="AD81" s="6" t="n"/>
      <c r="AF81" s="6" t="n"/>
      <c r="AH81" s="6" t="n"/>
      <c r="AI81" s="6" t="n"/>
      <c r="AJ81" s="6" t="n"/>
      <c r="AK81" s="6" t="n"/>
      <c r="AL81" s="6" t="n"/>
      <c r="AM81" s="6" t="n"/>
      <c r="AN81" s="6" t="n"/>
      <c r="AO81" s="6" t="n"/>
      <c r="AP81" s="6" t="n"/>
      <c r="AQ81" s="6" t="n"/>
      <c r="AR81" s="6" t="n"/>
      <c r="AS81" s="6" t="n"/>
      <c r="AT81" s="6" t="n"/>
      <c r="AU81" s="6" t="n"/>
      <c r="AV81" s="6" t="n"/>
      <c r="AW81" s="6" t="n"/>
      <c r="AX81" s="6" t="n"/>
      <c r="AY81" s="6" t="n"/>
      <c r="AZ81" s="6" t="n"/>
      <c r="BA81" s="6" t="n"/>
      <c r="BB81" s="6" t="n"/>
      <c r="BC81" s="6" t="n"/>
      <c r="BD81" s="6" t="n"/>
      <c r="BE81" s="6" t="n"/>
      <c r="BF81" s="6" t="n"/>
      <c r="BG81" s="6" t="n"/>
      <c r="BH81" s="6" t="n"/>
      <c r="BI81" s="6" t="n"/>
    </row>
    <row r="82" ht="15" customHeight="1">
      <c r="A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c r="AA82" s="6" t="n"/>
      <c r="AB82" s="6" t="n"/>
      <c r="AC82" s="6" t="n"/>
      <c r="AD82" s="6" t="n"/>
      <c r="AF82" s="6" t="n"/>
      <c r="AH82" s="6" t="n"/>
      <c r="AI82" s="6" t="n"/>
      <c r="AJ82" s="6" t="n"/>
      <c r="AK82" s="6" t="n"/>
      <c r="AL82" s="6" t="n"/>
      <c r="AM82" s="6" t="n"/>
      <c r="AN82" s="6" t="n"/>
      <c r="AO82" s="6" t="n"/>
      <c r="AP82" s="6" t="n"/>
      <c r="AQ82" s="6" t="n"/>
      <c r="AR82" s="6" t="n"/>
      <c r="AS82" s="6" t="n"/>
      <c r="AT82" s="6" t="n"/>
      <c r="AU82" s="6" t="n"/>
      <c r="AV82" s="6" t="n"/>
      <c r="AW82" s="6" t="n"/>
      <c r="AX82" s="6" t="n"/>
      <c r="AY82" s="6" t="n"/>
      <c r="AZ82" s="6" t="n"/>
      <c r="BA82" s="6" t="n"/>
      <c r="BB82" s="6" t="n"/>
      <c r="BC82" s="6" t="n"/>
      <c r="BD82" s="6" t="n"/>
      <c r="BE82" s="6" t="n"/>
      <c r="BF82" s="6" t="n"/>
      <c r="BG82" s="6" t="n"/>
      <c r="BH82" s="6" t="n"/>
      <c r="BI82" s="6" t="n"/>
    </row>
    <row r="83" ht="15" customHeight="1">
      <c r="A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c r="AA83" s="6" t="n"/>
      <c r="AB83" s="6" t="n"/>
      <c r="AC83" s="6" t="n"/>
      <c r="AD83" s="6" t="n"/>
      <c r="AF83" s="6" t="n"/>
      <c r="AH83" s="6" t="n"/>
      <c r="AI83" s="6" t="n"/>
      <c r="AJ83" s="6" t="n"/>
      <c r="AK83" s="6" t="n"/>
      <c r="AL83" s="6" t="n"/>
      <c r="AM83" s="6" t="n"/>
      <c r="AN83" s="6" t="n"/>
      <c r="AO83" s="6" t="n"/>
      <c r="AP83" s="6" t="n"/>
      <c r="AQ83" s="6" t="n"/>
      <c r="AR83" s="6" t="n"/>
      <c r="AS83" s="6" t="n"/>
      <c r="AT83" s="6" t="n"/>
      <c r="AU83" s="6" t="n"/>
      <c r="AV83" s="6" t="n"/>
      <c r="AW83" s="6" t="n"/>
      <c r="AX83" s="6" t="n"/>
      <c r="AY83" s="6" t="n"/>
      <c r="AZ83" s="6" t="n"/>
      <c r="BA83" s="6" t="n"/>
      <c r="BB83" s="6" t="n"/>
      <c r="BC83" s="6" t="n"/>
      <c r="BD83" s="6" t="n"/>
      <c r="BE83" s="6" t="n"/>
      <c r="BF83" s="6" t="n"/>
      <c r="BG83" s="6" t="n"/>
      <c r="BH83" s="6" t="n"/>
      <c r="BI83" s="6" t="n"/>
    </row>
    <row r="84" ht="15" customHeight="1">
      <c r="A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c r="AA84" s="6" t="n"/>
      <c r="AB84" s="6" t="n"/>
      <c r="AC84" s="6" t="n"/>
      <c r="AD84" s="6" t="n"/>
      <c r="AF84" s="6" t="n"/>
      <c r="AH84" s="6" t="n"/>
      <c r="AI84" s="6" t="n"/>
      <c r="AJ84" s="6" t="n"/>
      <c r="AK84" s="6" t="n"/>
      <c r="AL84" s="6" t="n"/>
      <c r="AM84" s="6" t="n"/>
      <c r="AN84" s="6" t="n"/>
      <c r="AO84" s="6" t="n"/>
      <c r="AP84" s="6" t="n"/>
      <c r="AQ84" s="6" t="n"/>
      <c r="AR84" s="6" t="n"/>
      <c r="AS84" s="6" t="n"/>
      <c r="AT84" s="6" t="n"/>
      <c r="AU84" s="6" t="n"/>
      <c r="AV84" s="6" t="n"/>
      <c r="AW84" s="6" t="n"/>
      <c r="AX84" s="6" t="n"/>
      <c r="AY84" s="6" t="n"/>
      <c r="AZ84" s="6" t="n"/>
      <c r="BA84" s="6" t="n"/>
      <c r="BB84" s="6" t="n"/>
      <c r="BC84" s="6" t="n"/>
      <c r="BD84" s="6" t="n"/>
      <c r="BE84" s="6" t="n"/>
      <c r="BF84" s="6" t="n"/>
      <c r="BG84" s="6" t="n"/>
      <c r="BH84" s="6" t="n"/>
      <c r="BI84" s="6" t="n"/>
    </row>
    <row r="85" ht="15" customHeight="1">
      <c r="A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c r="AA85" s="6" t="n"/>
      <c r="AB85" s="6" t="n"/>
      <c r="AC85" s="6" t="n"/>
      <c r="AD85" s="6" t="n"/>
      <c r="AF85" s="6" t="n"/>
      <c r="AH85" s="6" t="n"/>
      <c r="AI85" s="6" t="n"/>
      <c r="AJ85" s="6" t="n"/>
      <c r="AK85" s="6" t="n"/>
      <c r="AL85" s="6" t="n"/>
      <c r="AM85" s="6" t="n"/>
      <c r="AN85" s="6" t="n"/>
      <c r="AO85" s="6" t="n"/>
      <c r="AP85" s="6" t="n"/>
      <c r="AQ85" s="6" t="n"/>
      <c r="AR85" s="6" t="n"/>
      <c r="AS85" s="6" t="n"/>
      <c r="AT85" s="6" t="n"/>
      <c r="AU85" s="6" t="n"/>
      <c r="AV85" s="6" t="n"/>
      <c r="AW85" s="6" t="n"/>
      <c r="AX85" s="6" t="n"/>
      <c r="AY85" s="6" t="n"/>
      <c r="AZ85" s="6" t="n"/>
      <c r="BA85" s="6" t="n"/>
      <c r="BB85" s="6" t="n"/>
      <c r="BC85" s="6" t="n"/>
      <c r="BD85" s="6" t="n"/>
      <c r="BE85" s="6" t="n"/>
      <c r="BF85" s="6" t="n"/>
      <c r="BG85" s="6" t="n"/>
      <c r="BH85" s="6" t="n"/>
      <c r="BI85" s="6" t="n"/>
    </row>
    <row r="86" ht="15" customHeight="1">
      <c r="A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c r="AA86" s="6" t="n"/>
      <c r="AB86" s="6" t="n"/>
      <c r="AC86" s="6" t="n"/>
      <c r="AD86" s="6" t="n"/>
      <c r="AF86" s="6" t="n"/>
      <c r="AH86" s="6" t="n"/>
      <c r="AI86" s="6" t="n"/>
      <c r="AJ86" s="6" t="n"/>
      <c r="AK86" s="6" t="n"/>
      <c r="AL86" s="6" t="n"/>
      <c r="AM86" s="6" t="n"/>
      <c r="AN86" s="6" t="n"/>
      <c r="AO86" s="6" t="n"/>
      <c r="AP86" s="6" t="n"/>
      <c r="AQ86" s="6" t="n"/>
      <c r="AR86" s="6" t="n"/>
      <c r="AS86" s="6" t="n"/>
      <c r="AT86" s="6" t="n"/>
      <c r="AU86" s="6" t="n"/>
      <c r="AV86" s="6" t="n"/>
      <c r="AW86" s="6" t="n"/>
      <c r="AX86" s="6" t="n"/>
      <c r="AY86" s="6" t="n"/>
      <c r="AZ86" s="6" t="n"/>
      <c r="BA86" s="6" t="n"/>
      <c r="BB86" s="6" t="n"/>
      <c r="BC86" s="6" t="n"/>
      <c r="BD86" s="6" t="n"/>
      <c r="BE86" s="6" t="n"/>
      <c r="BF86" s="6" t="n"/>
      <c r="BG86" s="6" t="n"/>
      <c r="BH86" s="6" t="n"/>
      <c r="BI86" s="6" t="n"/>
    </row>
    <row r="87" ht="15" customHeight="1">
      <c r="A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c r="AA87" s="6" t="n"/>
      <c r="AB87" s="6" t="n"/>
      <c r="AC87" s="6" t="n"/>
      <c r="AD87" s="6" t="n"/>
      <c r="AF87" s="6" t="n"/>
      <c r="AH87" s="6" t="n"/>
      <c r="AI87" s="6" t="n"/>
      <c r="AJ87" s="6" t="n"/>
      <c r="AK87" s="6" t="n"/>
      <c r="AL87" s="6" t="n"/>
      <c r="AM87" s="6" t="n"/>
      <c r="AN87" s="6" t="n"/>
      <c r="AO87" s="6" t="n"/>
      <c r="AP87" s="6" t="n"/>
      <c r="AQ87" s="6" t="n"/>
      <c r="AR87" s="6" t="n"/>
      <c r="AS87" s="6" t="n"/>
      <c r="AT87" s="6" t="n"/>
      <c r="AU87" s="6" t="n"/>
      <c r="AV87" s="6" t="n"/>
      <c r="AW87" s="6" t="n"/>
      <c r="AX87" s="6" t="n"/>
      <c r="AY87" s="6" t="n"/>
      <c r="AZ87" s="6" t="n"/>
      <c r="BA87" s="6" t="n"/>
      <c r="BB87" s="6" t="n"/>
      <c r="BC87" s="6" t="n"/>
      <c r="BD87" s="6" t="n"/>
      <c r="BE87" s="6" t="n"/>
      <c r="BF87" s="6" t="n"/>
      <c r="BG87" s="6" t="n"/>
      <c r="BH87" s="6" t="n"/>
      <c r="BI87" s="6" t="n"/>
    </row>
    <row r="88" ht="15" customHeight="1">
      <c r="A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c r="AA88" s="6" t="n"/>
      <c r="AB88" s="6" t="n"/>
      <c r="AC88" s="6" t="n"/>
      <c r="AD88" s="6" t="n"/>
      <c r="AF88" s="6" t="n"/>
      <c r="AH88" s="6" t="n"/>
      <c r="AI88" s="6" t="n"/>
      <c r="AJ88" s="6" t="n"/>
      <c r="AK88" s="6" t="n"/>
      <c r="AL88" s="6" t="n"/>
      <c r="AM88" s="6" t="n"/>
      <c r="AN88" s="6" t="n"/>
      <c r="AO88" s="6" t="n"/>
      <c r="AP88" s="6" t="n"/>
      <c r="AQ88" s="6" t="n"/>
      <c r="AR88" s="6" t="n"/>
      <c r="AS88" s="6" t="n"/>
      <c r="AT88" s="6" t="n"/>
      <c r="AU88" s="6" t="n"/>
      <c r="AV88" s="6" t="n"/>
      <c r="AW88" s="6" t="n"/>
      <c r="AX88" s="6" t="n"/>
      <c r="AY88" s="6" t="n"/>
      <c r="AZ88" s="6" t="n"/>
      <c r="BA88" s="6" t="n"/>
      <c r="BB88" s="6" t="n"/>
      <c r="BC88" s="6" t="n"/>
      <c r="BD88" s="6" t="n"/>
      <c r="BE88" s="6" t="n"/>
      <c r="BF88" s="6" t="n"/>
      <c r="BG88" s="6" t="n"/>
      <c r="BH88" s="6" t="n"/>
      <c r="BI88" s="6" t="n"/>
    </row>
    <row r="89" ht="15" customHeight="1">
      <c r="A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c r="AA89" s="6" t="n"/>
      <c r="AB89" s="6" t="n"/>
      <c r="AC89" s="6" t="n"/>
      <c r="AD89" s="6" t="n"/>
      <c r="AF89" s="6" t="n"/>
      <c r="AH89" s="6" t="n"/>
      <c r="AI89" s="6" t="n"/>
      <c r="AJ89" s="6" t="n"/>
      <c r="AK89" s="6" t="n"/>
      <c r="AL89" s="6" t="n"/>
      <c r="AM89" s="6" t="n"/>
      <c r="AN89" s="6" t="n"/>
      <c r="AO89" s="6" t="n"/>
      <c r="AP89" s="6" t="n"/>
      <c r="AQ89" s="6" t="n"/>
      <c r="AR89" s="6" t="n"/>
      <c r="AS89" s="6" t="n"/>
      <c r="AT89" s="6" t="n"/>
      <c r="AU89" s="6" t="n"/>
      <c r="AV89" s="6" t="n"/>
      <c r="AW89" s="6" t="n"/>
      <c r="AX89" s="6" t="n"/>
      <c r="AY89" s="6" t="n"/>
      <c r="AZ89" s="6" t="n"/>
      <c r="BA89" s="6" t="n"/>
      <c r="BB89" s="6" t="n"/>
      <c r="BC89" s="6" t="n"/>
      <c r="BD89" s="6" t="n"/>
      <c r="BE89" s="6" t="n"/>
      <c r="BF89" s="6" t="n"/>
      <c r="BG89" s="6" t="n"/>
      <c r="BH89" s="6" t="n"/>
      <c r="BI89" s="6" t="n"/>
    </row>
    <row r="90" ht="15" customHeight="1">
      <c r="A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c r="AA90" s="6" t="n"/>
      <c r="AB90" s="6" t="n"/>
      <c r="AC90" s="6" t="n"/>
      <c r="AD90" s="6" t="n"/>
      <c r="AF90" s="6" t="n"/>
      <c r="AH90" s="6" t="n"/>
      <c r="AI90" s="6" t="n"/>
      <c r="AJ90" s="6" t="n"/>
      <c r="AK90" s="6" t="n"/>
      <c r="AL90" s="6" t="n"/>
      <c r="AM90" s="6" t="n"/>
      <c r="AN90" s="6" t="n"/>
      <c r="AO90" s="6" t="n"/>
      <c r="AP90" s="6" t="n"/>
      <c r="AQ90" s="6" t="n"/>
      <c r="AR90" s="6" t="n"/>
      <c r="AS90" s="6" t="n"/>
      <c r="AT90" s="6" t="n"/>
      <c r="AU90" s="6" t="n"/>
      <c r="AV90" s="6" t="n"/>
      <c r="AW90" s="6" t="n"/>
      <c r="AX90" s="6" t="n"/>
      <c r="AY90" s="6" t="n"/>
      <c r="AZ90" s="6" t="n"/>
      <c r="BA90" s="6" t="n"/>
      <c r="BB90" s="6" t="n"/>
      <c r="BC90" s="6" t="n"/>
      <c r="BD90" s="6" t="n"/>
      <c r="BE90" s="6" t="n"/>
      <c r="BF90" s="6" t="n"/>
      <c r="BG90" s="6" t="n"/>
      <c r="BH90" s="6" t="n"/>
      <c r="BI90" s="6" t="n"/>
    </row>
    <row r="91" ht="15" customHeight="1">
      <c r="A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c r="AA91" s="6" t="n"/>
      <c r="AB91" s="6" t="n"/>
      <c r="AC91" s="6" t="n"/>
      <c r="AD91" s="6" t="n"/>
      <c r="AF91" s="6" t="n"/>
      <c r="AH91" s="6" t="n"/>
      <c r="AI91" s="6" t="n"/>
      <c r="AJ91" s="6" t="n"/>
      <c r="AK91" s="6" t="n"/>
      <c r="AL91" s="6" t="n"/>
      <c r="AM91" s="6" t="n"/>
      <c r="AN91" s="6" t="n"/>
      <c r="AO91" s="6" t="n"/>
      <c r="AP91" s="6" t="n"/>
      <c r="AQ91" s="6" t="n"/>
      <c r="AR91" s="6" t="n"/>
      <c r="AS91" s="6" t="n"/>
      <c r="AT91" s="6" t="n"/>
      <c r="AU91" s="6" t="n"/>
      <c r="AV91" s="6" t="n"/>
      <c r="AW91" s="6" t="n"/>
      <c r="AX91" s="6" t="n"/>
      <c r="AY91" s="6" t="n"/>
      <c r="AZ91" s="6" t="n"/>
      <c r="BA91" s="6" t="n"/>
      <c r="BB91" s="6" t="n"/>
      <c r="BC91" s="6" t="n"/>
      <c r="BD91" s="6" t="n"/>
      <c r="BE91" s="6" t="n"/>
      <c r="BF91" s="6" t="n"/>
      <c r="BG91" s="6" t="n"/>
      <c r="BH91" s="6" t="n"/>
      <c r="BI91" s="6" t="n"/>
    </row>
    <row r="92" ht="15" customHeight="1">
      <c r="A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c r="AA92" s="6" t="n"/>
      <c r="AB92" s="6" t="n"/>
      <c r="AC92" s="6" t="n"/>
      <c r="AD92" s="6" t="n"/>
      <c r="AF92" s="6" t="n"/>
      <c r="AH92" s="6" t="n"/>
      <c r="AI92" s="6" t="n"/>
      <c r="AJ92" s="6" t="n"/>
      <c r="AK92" s="6" t="n"/>
      <c r="AL92" s="6" t="n"/>
      <c r="AM92" s="6" t="n"/>
      <c r="AN92" s="6" t="n"/>
      <c r="AO92" s="6" t="n"/>
      <c r="AP92" s="6" t="n"/>
      <c r="AQ92" s="6" t="n"/>
      <c r="AR92" s="6" t="n"/>
      <c r="AS92" s="6" t="n"/>
      <c r="AT92" s="6" t="n"/>
      <c r="AU92" s="6" t="n"/>
      <c r="AV92" s="6" t="n"/>
      <c r="AW92" s="6" t="n"/>
      <c r="AX92" s="6" t="n"/>
      <c r="AY92" s="6" t="n"/>
      <c r="AZ92" s="6" t="n"/>
      <c r="BA92" s="6" t="n"/>
      <c r="BB92" s="6" t="n"/>
      <c r="BC92" s="6" t="n"/>
      <c r="BD92" s="6" t="n"/>
      <c r="BE92" s="6" t="n"/>
      <c r="BF92" s="6" t="n"/>
      <c r="BG92" s="6" t="n"/>
      <c r="BH92" s="6" t="n"/>
      <c r="BI92" s="6" t="n"/>
    </row>
    <row r="93" ht="15" customHeight="1">
      <c r="A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c r="AA93" s="6" t="n"/>
      <c r="AB93" s="6" t="n"/>
      <c r="AC93" s="6" t="n"/>
      <c r="AD93" s="6" t="n"/>
      <c r="AF93" s="6" t="n"/>
      <c r="AH93" s="6" t="n"/>
      <c r="AI93" s="6" t="n"/>
      <c r="AJ93" s="6" t="n"/>
      <c r="AK93" s="6" t="n"/>
      <c r="AL93" s="6" t="n"/>
      <c r="AM93" s="6" t="n"/>
      <c r="AN93" s="6" t="n"/>
      <c r="AO93" s="6" t="n"/>
      <c r="AP93" s="6" t="n"/>
      <c r="AQ93" s="6" t="n"/>
      <c r="AR93" s="6" t="n"/>
      <c r="AS93" s="6" t="n"/>
      <c r="AT93" s="6" t="n"/>
      <c r="AU93" s="6" t="n"/>
      <c r="AV93" s="6" t="n"/>
      <c r="AW93" s="6" t="n"/>
      <c r="AX93" s="6" t="n"/>
      <c r="AY93" s="6" t="n"/>
      <c r="AZ93" s="6" t="n"/>
      <c r="BA93" s="6" t="n"/>
      <c r="BB93" s="6" t="n"/>
      <c r="BC93" s="6" t="n"/>
      <c r="BD93" s="6" t="n"/>
      <c r="BE93" s="6" t="n"/>
      <c r="BF93" s="6" t="n"/>
      <c r="BG93" s="6" t="n"/>
      <c r="BH93" s="6" t="n"/>
      <c r="BI93" s="6" t="n"/>
    </row>
    <row r="94" ht="15" customHeight="1">
      <c r="A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c r="AA94" s="6" t="n"/>
      <c r="AB94" s="6" t="n"/>
      <c r="AC94" s="6" t="n"/>
      <c r="AD94" s="6" t="n"/>
      <c r="AF94" s="6" t="n"/>
      <c r="AH94" s="6" t="n"/>
      <c r="AI94" s="6" t="n"/>
      <c r="AJ94" s="6" t="n"/>
      <c r="AK94" s="6" t="n"/>
      <c r="AL94" s="6" t="n"/>
      <c r="AM94" s="6" t="n"/>
      <c r="AN94" s="6" t="n"/>
      <c r="AO94" s="6" t="n"/>
      <c r="AP94" s="6" t="n"/>
      <c r="AQ94" s="6" t="n"/>
      <c r="AR94" s="6" t="n"/>
      <c r="AS94" s="6" t="n"/>
      <c r="AT94" s="6" t="n"/>
      <c r="AU94" s="6" t="n"/>
      <c r="AV94" s="6" t="n"/>
      <c r="AW94" s="6" t="n"/>
      <c r="AX94" s="6" t="n"/>
      <c r="AY94" s="6" t="n"/>
      <c r="AZ94" s="6" t="n"/>
      <c r="BA94" s="6" t="n"/>
      <c r="BB94" s="6" t="n"/>
      <c r="BC94" s="6" t="n"/>
      <c r="BD94" s="6" t="n"/>
      <c r="BE94" s="6" t="n"/>
      <c r="BF94" s="6" t="n"/>
      <c r="BG94" s="6" t="n"/>
      <c r="BH94" s="6" t="n"/>
      <c r="BI94" s="6" t="n"/>
    </row>
    <row r="95" ht="15" customHeight="1">
      <c r="A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c r="AA95" s="6" t="n"/>
      <c r="AB95" s="6" t="n"/>
      <c r="AC95" s="6" t="n"/>
      <c r="AD95" s="6" t="n"/>
      <c r="AF95" s="6" t="n"/>
      <c r="AH95" s="6" t="n"/>
      <c r="AI95" s="6" t="n"/>
      <c r="AJ95" s="6" t="n"/>
      <c r="AK95" s="6" t="n"/>
      <c r="AL95" s="6" t="n"/>
      <c r="AM95" s="6" t="n"/>
      <c r="AN95" s="6" t="n"/>
      <c r="AO95" s="6" t="n"/>
      <c r="AP95" s="6" t="n"/>
      <c r="AQ95" s="6" t="n"/>
      <c r="AR95" s="6" t="n"/>
      <c r="AS95" s="6" t="n"/>
      <c r="AT95" s="6" t="n"/>
      <c r="AU95" s="6" t="n"/>
      <c r="AV95" s="6" t="n"/>
      <c r="AW95" s="6" t="n"/>
      <c r="AX95" s="6" t="n"/>
      <c r="AY95" s="6" t="n"/>
      <c r="AZ95" s="6" t="n"/>
      <c r="BA95" s="6" t="n"/>
      <c r="BB95" s="6" t="n"/>
      <c r="BC95" s="6" t="n"/>
      <c r="BD95" s="6" t="n"/>
      <c r="BE95" s="6" t="n"/>
      <c r="BF95" s="6" t="n"/>
      <c r="BG95" s="6" t="n"/>
      <c r="BH95" s="6" t="n"/>
      <c r="BI95" s="6" t="n"/>
    </row>
    <row r="96" ht="15" customHeight="1">
      <c r="A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c r="AA96" s="6" t="n"/>
      <c r="AB96" s="6" t="n"/>
      <c r="AC96" s="6" t="n"/>
      <c r="AD96" s="6" t="n"/>
      <c r="AF96" s="6" t="n"/>
      <c r="AH96" s="6" t="n"/>
      <c r="AI96" s="6" t="n"/>
      <c r="AJ96" s="6" t="n"/>
      <c r="AK96" s="6" t="n"/>
      <c r="AL96" s="6" t="n"/>
      <c r="AM96" s="6" t="n"/>
      <c r="AN96" s="6" t="n"/>
      <c r="AO96" s="6" t="n"/>
      <c r="AP96" s="6" t="n"/>
      <c r="AQ96" s="6" t="n"/>
      <c r="AR96" s="6" t="n"/>
      <c r="AS96" s="6" t="n"/>
      <c r="AT96" s="6" t="n"/>
      <c r="AU96" s="6" t="n"/>
      <c r="AV96" s="6" t="n"/>
      <c r="AW96" s="6" t="n"/>
      <c r="AX96" s="6" t="n"/>
      <c r="AY96" s="6" t="n"/>
      <c r="AZ96" s="6" t="n"/>
      <c r="BA96" s="6" t="n"/>
      <c r="BB96" s="6" t="n"/>
      <c r="BC96" s="6" t="n"/>
      <c r="BD96" s="6" t="n"/>
      <c r="BE96" s="6" t="n"/>
      <c r="BF96" s="6" t="n"/>
      <c r="BG96" s="6" t="n"/>
      <c r="BH96" s="6" t="n"/>
      <c r="BI96" s="6" t="n"/>
    </row>
    <row r="97" ht="15" customHeight="1">
      <c r="A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c r="AA97" s="6" t="n"/>
      <c r="AB97" s="6" t="n"/>
      <c r="AC97" s="6" t="n"/>
      <c r="AD97" s="6" t="n"/>
      <c r="AF97" s="6" t="n"/>
      <c r="AH97" s="6" t="n"/>
      <c r="AI97" s="6" t="n"/>
      <c r="AJ97" s="6" t="n"/>
      <c r="AK97" s="6" t="n"/>
      <c r="AL97" s="6" t="n"/>
      <c r="AM97" s="6" t="n"/>
      <c r="AN97" s="6" t="n"/>
      <c r="AO97" s="6" t="n"/>
      <c r="AP97" s="6" t="n"/>
      <c r="AQ97" s="6" t="n"/>
      <c r="AR97" s="6" t="n"/>
      <c r="AS97" s="6" t="n"/>
      <c r="AT97" s="6" t="n"/>
      <c r="AU97" s="6" t="n"/>
      <c r="AV97" s="6" t="n"/>
      <c r="AW97" s="6" t="n"/>
      <c r="AX97" s="6" t="n"/>
      <c r="AY97" s="6" t="n"/>
      <c r="AZ97" s="6" t="n"/>
      <c r="BA97" s="6" t="n"/>
      <c r="BB97" s="6" t="n"/>
      <c r="BC97" s="6" t="n"/>
      <c r="BD97" s="6" t="n"/>
      <c r="BE97" s="6" t="n"/>
      <c r="BF97" s="6" t="n"/>
      <c r="BG97" s="6" t="n"/>
      <c r="BH97" s="6" t="n"/>
      <c r="BI97" s="6" t="n"/>
    </row>
    <row r="98" ht="15" customHeight="1">
      <c r="A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c r="AA98" s="6" t="n"/>
      <c r="AB98" s="6" t="n"/>
      <c r="AC98" s="6" t="n"/>
      <c r="AD98" s="6" t="n"/>
      <c r="AF98" s="6" t="n"/>
      <c r="AH98" s="6" t="n"/>
      <c r="AI98" s="6" t="n"/>
      <c r="AJ98" s="6" t="n"/>
      <c r="AK98" s="6" t="n"/>
      <c r="AL98" s="6" t="n"/>
      <c r="AM98" s="6" t="n"/>
      <c r="AN98" s="6" t="n"/>
      <c r="AO98" s="6" t="n"/>
      <c r="AP98" s="6" t="n"/>
      <c r="AQ98" s="6" t="n"/>
      <c r="AR98" s="6" t="n"/>
      <c r="AS98" s="6" t="n"/>
      <c r="AT98" s="6" t="n"/>
      <c r="AU98" s="6" t="n"/>
      <c r="AV98" s="6" t="n"/>
      <c r="AW98" s="46" t="n"/>
      <c r="AX98" s="47" t="n"/>
      <c r="AY98" s="110" t="inlineStr">
        <is>
          <t>LEAD TIME</t>
        </is>
      </c>
      <c r="AZ98" s="111" t="n"/>
      <c r="BA98" s="47" t="n"/>
      <c r="BB98" s="48" t="n"/>
      <c r="BC98" s="6" t="n"/>
      <c r="BD98" s="6" t="n"/>
      <c r="BE98" s="6" t="n"/>
      <c r="BF98" s="6" t="n"/>
      <c r="BG98" s="6" t="n"/>
      <c r="BH98" s="6" t="n"/>
      <c r="BI98" s="6" t="n"/>
    </row>
    <row r="99" ht="15" customHeight="1">
      <c r="A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c r="AA99" s="6" t="n"/>
      <c r="AB99" s="6" t="n"/>
      <c r="AC99" s="6" t="n"/>
      <c r="AD99" s="6" t="n"/>
      <c r="AF99" s="6" t="n"/>
      <c r="AH99" s="6" t="n"/>
      <c r="AI99" s="6" t="n"/>
      <c r="AJ99" s="6" t="n"/>
      <c r="AK99" s="6" t="n"/>
      <c r="AL99" s="6" t="n"/>
      <c r="AM99" s="6" t="n"/>
      <c r="AN99" s="6" t="n"/>
      <c r="AO99" s="6" t="n"/>
      <c r="AP99" s="6" t="n"/>
      <c r="AQ99" s="6" t="n"/>
      <c r="AR99" s="6" t="n"/>
      <c r="AS99" s="6" t="n"/>
      <c r="AT99" s="6" t="n"/>
      <c r="AU99" s="6" t="n"/>
      <c r="AV99" s="6" t="n"/>
      <c r="AW99" s="112" t="inlineStr">
        <is>
          <t>Tempo entre a geração da demanda (criação da tarefa) e a entrega/finalização</t>
        </is>
      </c>
      <c r="BB99" s="113" t="n"/>
      <c r="BC99" s="6" t="n"/>
      <c r="BD99" s="6" t="n"/>
      <c r="BE99" s="6" t="n"/>
      <c r="BF99" s="6" t="n"/>
      <c r="BG99" s="6" t="n"/>
      <c r="BH99" s="6" t="n"/>
      <c r="BI99" s="6" t="n"/>
    </row>
    <row r="100" ht="15" customHeight="1">
      <c r="A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c r="AA100" s="6" t="n"/>
      <c r="AB100" s="6" t="n"/>
      <c r="AC100" s="6" t="n"/>
      <c r="AD100" s="6" t="n"/>
      <c r="AF100" s="6" t="n"/>
      <c r="AH100" s="6" t="n"/>
      <c r="AI100" s="6" t="n"/>
      <c r="AJ100" s="6" t="n"/>
      <c r="AK100" s="6" t="n"/>
      <c r="AL100" s="6" t="n"/>
      <c r="AM100" s="6" t="n"/>
      <c r="AN100" s="6" t="n"/>
      <c r="AO100" s="6" t="n"/>
      <c r="AP100" s="6" t="n"/>
      <c r="AQ100" s="6" t="n"/>
      <c r="AR100" s="6" t="n"/>
      <c r="AS100" s="6" t="n"/>
      <c r="AT100" s="6" t="n"/>
      <c r="AU100" s="6" t="n"/>
      <c r="AV100" s="6" t="n"/>
      <c r="AW100" s="114" t="n"/>
      <c r="BB100" s="113" t="n"/>
      <c r="BC100" s="6" t="n"/>
      <c r="BD100" s="6" t="n"/>
      <c r="BE100" s="6" t="n"/>
      <c r="BF100" s="6" t="n"/>
      <c r="BG100" s="6" t="n"/>
      <c r="BH100" s="6" t="n"/>
      <c r="BI100" s="6" t="n"/>
    </row>
    <row r="101" ht="15" customHeight="1">
      <c r="A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c r="AA101" s="6" t="n"/>
      <c r="AB101" s="6" t="n"/>
      <c r="AC101" s="6" t="n"/>
      <c r="AD101" s="6" t="n"/>
      <c r="AF101" s="6" t="n"/>
      <c r="AH101" s="6" t="n"/>
      <c r="AI101" s="6" t="n"/>
      <c r="AJ101" s="6" t="n"/>
      <c r="AK101" s="6" t="n"/>
      <c r="AL101" s="6" t="n"/>
      <c r="AM101" s="6" t="n"/>
      <c r="AN101" s="6" t="n"/>
      <c r="AO101" s="6" t="n"/>
      <c r="AP101" s="6" t="n"/>
      <c r="AQ101" s="6" t="n"/>
      <c r="AR101" s="6" t="n"/>
      <c r="AS101" s="6" t="n"/>
      <c r="AT101" s="6" t="n"/>
      <c r="AU101" s="6" t="n"/>
      <c r="AV101" s="6" t="n"/>
      <c r="AW101" s="49" t="n"/>
      <c r="AX101" s="45" t="n"/>
      <c r="AY101" s="101" t="inlineStr">
        <is>
          <t>CYCLE TIME</t>
        </is>
      </c>
      <c r="BA101" s="45" t="n"/>
      <c r="BB101" s="50" t="n"/>
      <c r="BC101" s="6" t="n"/>
      <c r="BD101" s="6" t="n"/>
      <c r="BE101" s="6" t="n"/>
      <c r="BF101" s="6" t="n"/>
      <c r="BG101" s="6" t="n"/>
      <c r="BH101" s="6" t="n"/>
      <c r="BI101" s="6" t="n"/>
    </row>
    <row r="102" ht="15" customHeight="1">
      <c r="A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c r="AA102" s="6" t="n"/>
      <c r="AB102" s="6" t="n"/>
      <c r="AC102" s="6" t="n"/>
      <c r="AD102" s="6" t="n"/>
      <c r="AF102" s="6" t="n"/>
      <c r="AH102" s="6" t="n"/>
      <c r="AI102" s="6" t="n"/>
      <c r="AJ102" s="6" t="n"/>
      <c r="AK102" s="6" t="n"/>
      <c r="AL102" s="6" t="n"/>
      <c r="AM102" s="6" t="n"/>
      <c r="AN102" s="6" t="n"/>
      <c r="AO102" s="6" t="n"/>
      <c r="AP102" s="6" t="n"/>
      <c r="AQ102" s="6" t="n"/>
      <c r="AR102" s="6" t="n"/>
      <c r="AS102" s="6" t="n"/>
      <c r="AT102" s="6" t="n"/>
      <c r="AU102" s="6" t="n"/>
      <c r="AV102" s="6" t="n"/>
      <c r="AW102" s="115" t="inlineStr">
        <is>
          <t>Tempo entre o início efetivo dos trabalhos na tarefa (data de início) e a entrega/finalização</t>
        </is>
      </c>
      <c r="BB102" s="113" t="n"/>
      <c r="BC102" s="6" t="n"/>
      <c r="BD102" s="6" t="n"/>
      <c r="BE102" s="6" t="n"/>
      <c r="BF102" s="6" t="n"/>
      <c r="BG102" s="6" t="n"/>
      <c r="BH102" s="6" t="n"/>
      <c r="BI102" s="6" t="n"/>
    </row>
    <row r="103" ht="15" customHeight="1">
      <c r="A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c r="AA103" s="6" t="n"/>
      <c r="AB103" s="6" t="n"/>
      <c r="AC103" s="6" t="n"/>
      <c r="AD103" s="6" t="n"/>
      <c r="AF103" s="6" t="n"/>
      <c r="AH103" s="6" t="n"/>
      <c r="AI103" s="6" t="n"/>
      <c r="AJ103" s="6" t="n"/>
      <c r="AK103" s="6" t="n"/>
      <c r="AL103" s="6" t="n"/>
      <c r="AM103" s="6" t="n"/>
      <c r="AN103" s="6" t="n"/>
      <c r="AO103" s="6" t="n"/>
      <c r="AP103" s="6" t="n"/>
      <c r="AQ103" s="6" t="n"/>
      <c r="AR103" s="6" t="n"/>
      <c r="AS103" s="6" t="n"/>
      <c r="AT103" s="6" t="n"/>
      <c r="AU103" s="6" t="n"/>
      <c r="AV103" s="6" t="n"/>
      <c r="AW103" s="116" t="n"/>
      <c r="AX103" s="117" t="n"/>
      <c r="AY103" s="117" t="n"/>
      <c r="AZ103" s="117" t="n"/>
      <c r="BA103" s="117" t="n"/>
      <c r="BB103" s="118" t="n"/>
      <c r="BC103" s="6" t="n"/>
      <c r="BD103" s="6" t="n"/>
      <c r="BE103" s="6" t="n"/>
      <c r="BF103" s="6" t="n"/>
      <c r="BG103" s="6" t="n"/>
      <c r="BH103" s="6" t="n"/>
      <c r="BI103" s="6" t="n"/>
    </row>
    <row r="104" ht="15" customHeight="1">
      <c r="A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c r="AA104" s="6" t="n"/>
      <c r="AB104" s="6" t="n"/>
      <c r="AC104" s="6" t="n"/>
      <c r="AD104" s="6" t="n"/>
      <c r="AF104" s="6" t="n"/>
      <c r="AH104" s="6" t="n"/>
      <c r="AI104" s="6" t="n"/>
      <c r="AJ104" s="6" t="n"/>
      <c r="AK104" s="6" t="n"/>
      <c r="AL104" s="6" t="n"/>
      <c r="AM104" s="6" t="n"/>
      <c r="AN104" s="6" t="n"/>
      <c r="AO104" s="6" t="n"/>
      <c r="AP104" s="6" t="n"/>
      <c r="AQ104" s="6" t="n"/>
      <c r="AR104" s="6" t="n"/>
      <c r="AS104" s="6" t="n"/>
      <c r="AT104" s="6" t="n"/>
      <c r="AU104" s="6" t="n"/>
      <c r="AV104" s="6" t="n"/>
      <c r="AW104" s="6" t="n"/>
      <c r="AX104" s="6" t="n"/>
      <c r="AY104" s="6" t="n"/>
      <c r="AZ104" s="6" t="n"/>
      <c r="BA104" s="6" t="n"/>
      <c r="BB104" s="6" t="n"/>
      <c r="BC104" s="6" t="n"/>
      <c r="BD104" s="6" t="n"/>
      <c r="BE104" s="6" t="n"/>
      <c r="BF104" s="6" t="n"/>
      <c r="BG104" s="6" t="n"/>
      <c r="BH104" s="6" t="n"/>
      <c r="BI104" s="6" t="n"/>
    </row>
    <row r="105" ht="15" customHeight="1">
      <c r="A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c r="AA105" s="6" t="n"/>
      <c r="AB105" s="6" t="n"/>
      <c r="AC105" s="6" t="n"/>
      <c r="AD105" s="6" t="n"/>
      <c r="AF105" s="6" t="n"/>
      <c r="AH105" s="6" t="n"/>
      <c r="AI105" s="6" t="n"/>
      <c r="AJ105" s="6" t="n"/>
      <c r="AK105" s="6" t="n"/>
      <c r="AL105" s="6" t="n"/>
      <c r="AM105" s="6" t="n"/>
      <c r="AN105" s="6" t="n"/>
      <c r="AO105" s="6" t="n"/>
      <c r="AP105" s="6" t="n"/>
      <c r="AQ105" s="6" t="n"/>
      <c r="AR105" s="6" t="n"/>
      <c r="AS105" s="6" t="n"/>
      <c r="AT105" s="6" t="n"/>
      <c r="AU105" s="6" t="n"/>
      <c r="AV105" s="6" t="n"/>
      <c r="AW105" s="6" t="n"/>
      <c r="AX105" s="6" t="n"/>
      <c r="AY105" s="6" t="n"/>
      <c r="AZ105" s="6" t="n"/>
      <c r="BA105" s="6" t="n"/>
      <c r="BB105" s="6" t="n"/>
      <c r="BC105" s="6" t="n"/>
      <c r="BD105" s="6" t="n"/>
      <c r="BE105" s="6" t="n"/>
      <c r="BF105" s="6" t="n"/>
      <c r="BG105" s="6" t="n"/>
      <c r="BH105" s="6" t="n"/>
      <c r="BI105" s="6" t="n"/>
    </row>
    <row r="106" ht="15" customHeight="1">
      <c r="A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c r="AA106" s="6" t="n"/>
      <c r="AB106" s="6" t="n"/>
      <c r="AC106" s="6" t="n"/>
      <c r="AD106" s="6" t="n"/>
      <c r="AF106" s="6" t="n"/>
      <c r="AH106" s="6" t="n"/>
      <c r="AI106" s="6" t="n"/>
      <c r="AJ106" s="6" t="n"/>
      <c r="AK106" s="6" t="n"/>
      <c r="AL106" s="6" t="n"/>
      <c r="AM106" s="6" t="n"/>
      <c r="AN106" s="6" t="n"/>
      <c r="AO106" s="6" t="n"/>
      <c r="AP106" s="6" t="n"/>
      <c r="AQ106" s="6" t="n"/>
      <c r="AR106" s="6" t="n"/>
      <c r="AS106" s="6" t="n"/>
      <c r="AT106" s="6" t="n"/>
      <c r="AU106" s="6" t="n"/>
      <c r="AV106" s="6" t="n"/>
      <c r="AW106" s="6" t="n"/>
      <c r="AX106" s="6" t="n"/>
      <c r="AY106" s="6" t="n"/>
      <c r="AZ106" s="6" t="n"/>
      <c r="BA106" s="6" t="n"/>
      <c r="BB106" s="6" t="n"/>
      <c r="BC106" s="6" t="n"/>
      <c r="BD106" s="6" t="n"/>
      <c r="BE106" s="6" t="n"/>
      <c r="BF106" s="6" t="n"/>
      <c r="BG106" s="6" t="n"/>
      <c r="BH106" s="6" t="n"/>
      <c r="BI106" s="6" t="n"/>
    </row>
    <row r="107" ht="15" customHeight="1">
      <c r="A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c r="AA107" s="6" t="n"/>
      <c r="AB107" s="6" t="n"/>
      <c r="AC107" s="6" t="n"/>
      <c r="AD107" s="6" t="n"/>
      <c r="AF107" s="6" t="n"/>
      <c r="AH107" s="6" t="n"/>
      <c r="AI107" s="6" t="n"/>
      <c r="AJ107" s="6" t="n"/>
      <c r="AK107" s="6" t="n"/>
      <c r="AL107" s="6" t="n"/>
      <c r="AM107" s="6" t="n"/>
      <c r="AN107" s="6" t="n"/>
      <c r="AO107" s="6" t="n"/>
      <c r="AP107" s="6" t="n"/>
      <c r="AQ107" s="6" t="n"/>
      <c r="AR107" s="6" t="n"/>
      <c r="AS107" s="6" t="n"/>
      <c r="AT107" s="6" t="n"/>
      <c r="AU107" s="6" t="n"/>
      <c r="AV107" s="6" t="n"/>
      <c r="AW107" s="6" t="n"/>
      <c r="AX107" s="6" t="n"/>
      <c r="AY107" s="6" t="n"/>
      <c r="AZ107" s="6" t="n"/>
      <c r="BA107" s="6" t="n"/>
      <c r="BB107" s="6" t="n"/>
      <c r="BC107" s="6" t="n"/>
      <c r="BD107" s="6" t="n"/>
      <c r="BE107" s="6" t="n"/>
      <c r="BF107" s="6" t="n"/>
      <c r="BG107" s="6" t="n"/>
      <c r="BH107" s="6" t="n"/>
      <c r="BI107" s="6" t="n"/>
    </row>
    <row r="108" ht="15" customHeight="1">
      <c r="A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c r="AA108" s="6" t="n"/>
      <c r="AB108" s="6" t="n"/>
      <c r="AC108" s="6" t="n"/>
      <c r="AD108" s="6" t="n"/>
      <c r="AF108" s="6" t="n"/>
      <c r="AH108" s="6" t="n"/>
      <c r="AI108" s="6" t="n"/>
      <c r="AJ108" s="6" t="n"/>
      <c r="AK108" s="6" t="n"/>
      <c r="AL108" s="6" t="n"/>
      <c r="AM108" s="6" t="n"/>
      <c r="AN108" s="6" t="n"/>
      <c r="AO108" s="6" t="n"/>
      <c r="AP108" s="6" t="n"/>
      <c r="AQ108" s="6" t="n"/>
      <c r="AR108" s="6" t="n"/>
      <c r="AS108" s="6" t="n"/>
      <c r="AT108" s="6" t="n"/>
      <c r="AU108" s="6" t="n"/>
      <c r="AV108" s="6" t="n"/>
      <c r="AW108" s="6" t="n"/>
      <c r="AX108" s="6" t="n"/>
      <c r="AY108" s="6" t="n"/>
      <c r="AZ108" s="6" t="n"/>
      <c r="BA108" s="6" t="n"/>
      <c r="BB108" s="6" t="n"/>
      <c r="BC108" s="6" t="n"/>
      <c r="BD108" s="6" t="n"/>
      <c r="BE108" s="6" t="n"/>
      <c r="BF108" s="6" t="n"/>
      <c r="BG108" s="6" t="n"/>
      <c r="BH108" s="6" t="n"/>
      <c r="BI108" s="6" t="n"/>
    </row>
    <row r="109" ht="15" customHeight="1">
      <c r="A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c r="AA109" s="6" t="n"/>
      <c r="AB109" s="6" t="n"/>
      <c r="AC109" s="6" t="n"/>
      <c r="AD109" s="6" t="n"/>
      <c r="AF109" s="6" t="n"/>
      <c r="AH109" s="6" t="n"/>
      <c r="AI109" s="6" t="n"/>
      <c r="AJ109" s="6" t="n"/>
      <c r="AK109" s="6" t="n"/>
      <c r="AL109" s="6" t="n"/>
      <c r="AM109" s="6" t="n"/>
      <c r="AN109" s="6" t="n"/>
      <c r="AO109" s="6" t="n"/>
      <c r="AP109" s="6" t="n"/>
      <c r="AQ109" s="6" t="n"/>
      <c r="AR109" s="6" t="n"/>
      <c r="AS109" s="6" t="n"/>
      <c r="AT109" s="6" t="n"/>
      <c r="AU109" s="6" t="n"/>
      <c r="AV109" s="6" t="n"/>
      <c r="AW109" s="6" t="n"/>
      <c r="AX109" s="6" t="n"/>
      <c r="AY109" s="6" t="n"/>
      <c r="AZ109" s="6" t="n"/>
      <c r="BA109" s="6" t="n"/>
      <c r="BB109" s="6" t="n"/>
      <c r="BC109" s="6" t="n"/>
      <c r="BD109" s="6" t="n"/>
      <c r="BE109" s="6" t="n"/>
      <c r="BF109" s="6" t="n"/>
      <c r="BG109" s="6" t="n"/>
      <c r="BH109" s="6" t="n"/>
      <c r="BI109" s="6" t="n"/>
    </row>
    <row r="110" ht="15" customHeight="1">
      <c r="A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c r="AA110" s="6" t="n"/>
      <c r="AB110" s="6" t="n"/>
      <c r="AC110" s="6" t="n"/>
      <c r="AD110" s="6" t="n"/>
      <c r="AF110" s="6" t="n"/>
      <c r="AH110" s="6" t="n"/>
      <c r="AI110" s="6" t="n"/>
      <c r="AJ110" s="6" t="n"/>
      <c r="AK110" s="6" t="n"/>
      <c r="AL110" s="6" t="n"/>
      <c r="AM110" s="6" t="n"/>
      <c r="AN110" s="6" t="n"/>
      <c r="AO110" s="6" t="n"/>
      <c r="AP110" s="6" t="n"/>
      <c r="AQ110" s="6" t="n"/>
      <c r="AR110" s="6" t="n"/>
      <c r="AS110" s="6" t="n"/>
      <c r="AT110" s="6" t="n"/>
      <c r="AU110" s="6" t="n"/>
      <c r="AV110" s="6" t="n"/>
      <c r="AW110" s="6" t="n"/>
      <c r="AX110" s="6" t="n"/>
      <c r="AY110" s="6" t="n"/>
      <c r="AZ110" s="6" t="n"/>
      <c r="BA110" s="6" t="n"/>
      <c r="BB110" s="6" t="n"/>
      <c r="BC110" s="6" t="n"/>
      <c r="BD110" s="6" t="n"/>
      <c r="BE110" s="6" t="n"/>
      <c r="BF110" s="6" t="n"/>
      <c r="BG110" s="6" t="n"/>
      <c r="BH110" s="6" t="n"/>
      <c r="BI110" s="6" t="n"/>
    </row>
    <row r="111" ht="15" customHeight="1">
      <c r="A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c r="AA111" s="6" t="n"/>
      <c r="AB111" s="6" t="n"/>
      <c r="AC111" s="6" t="n"/>
      <c r="AD111" s="6" t="n"/>
      <c r="AF111" s="6" t="n"/>
      <c r="AH111" s="6" t="n"/>
      <c r="AI111" s="6" t="n"/>
      <c r="AJ111" s="6" t="n"/>
      <c r="AK111" s="6" t="n"/>
      <c r="AL111" s="6" t="n"/>
      <c r="AM111" s="6" t="n"/>
      <c r="AN111" s="6" t="n"/>
      <c r="AO111" s="6" t="n"/>
      <c r="AP111" s="6" t="n"/>
      <c r="AQ111" s="6" t="n"/>
      <c r="AR111" s="6" t="n"/>
      <c r="AS111" s="6" t="n"/>
      <c r="AT111" s="6" t="n"/>
      <c r="AU111" s="6" t="n"/>
      <c r="AV111" s="6" t="n"/>
      <c r="AW111" s="6" t="n"/>
      <c r="AX111" s="6" t="n"/>
      <c r="AY111" s="6" t="n"/>
      <c r="AZ111" s="6" t="n"/>
      <c r="BA111" s="6" t="n"/>
      <c r="BB111" s="6" t="n"/>
      <c r="BC111" s="6" t="n"/>
      <c r="BD111" s="6" t="n"/>
      <c r="BE111" s="6" t="n"/>
      <c r="BF111" s="6" t="n"/>
      <c r="BG111" s="6" t="n"/>
      <c r="BH111" s="6" t="n"/>
      <c r="BI111" s="6" t="n"/>
    </row>
    <row r="112" ht="15" customHeight="1">
      <c r="A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c r="AA112" s="6" t="n"/>
      <c r="AB112" s="6" t="n"/>
      <c r="AC112" s="6" t="n"/>
      <c r="AD112" s="6" t="n"/>
      <c r="AF112" s="6" t="n"/>
      <c r="AH112" s="6" t="n"/>
      <c r="AI112" s="6" t="n"/>
      <c r="AJ112" s="6" t="n"/>
      <c r="AK112" s="6" t="n"/>
      <c r="AL112" s="6" t="n"/>
      <c r="AM112" s="6" t="n"/>
      <c r="AN112" s="6" t="n"/>
      <c r="AO112" s="6" t="n"/>
      <c r="AP112" s="6" t="n"/>
      <c r="AQ112" s="6" t="n"/>
      <c r="AR112" s="6" t="n"/>
      <c r="AS112" s="6" t="n"/>
      <c r="AT112" s="6" t="n"/>
      <c r="AU112" s="6" t="n"/>
      <c r="AV112" s="6" t="n"/>
      <c r="AW112" s="6" t="n"/>
      <c r="AX112" s="6" t="n"/>
      <c r="AY112" s="6" t="n"/>
      <c r="AZ112" s="6" t="n"/>
      <c r="BA112" s="6" t="n"/>
      <c r="BB112" s="6" t="n"/>
      <c r="BC112" s="6" t="n"/>
      <c r="BD112" s="6" t="n"/>
      <c r="BE112" s="6" t="n"/>
      <c r="BF112" s="6" t="n"/>
      <c r="BG112" s="6" t="n"/>
      <c r="BH112" s="6" t="n"/>
      <c r="BI112" s="6" t="n"/>
    </row>
    <row r="113" ht="15" customHeight="1">
      <c r="A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c r="AA113" s="6" t="n"/>
      <c r="AB113" s="6" t="n"/>
      <c r="AC113" s="6" t="n"/>
      <c r="AD113" s="6" t="n"/>
      <c r="AF113" s="6" t="n"/>
      <c r="AH113" s="6" t="n"/>
      <c r="AI113" s="6" t="n"/>
      <c r="AJ113" s="6" t="n"/>
      <c r="AK113" s="6" t="n"/>
      <c r="AL113" s="6" t="n"/>
      <c r="AM113" s="6" t="n"/>
      <c r="AN113" s="6" t="n"/>
      <c r="AO113" s="6" t="n"/>
      <c r="AP113" s="6" t="n"/>
      <c r="AQ113" s="6" t="n"/>
      <c r="AR113" s="6" t="n"/>
      <c r="AS113" s="6" t="n"/>
      <c r="AT113" s="6" t="n"/>
      <c r="AU113" s="6" t="n"/>
      <c r="AV113" s="6" t="n"/>
      <c r="AW113" s="6" t="n"/>
      <c r="AX113" s="6" t="n"/>
      <c r="AY113" s="6" t="n"/>
      <c r="AZ113" s="6" t="n"/>
      <c r="BA113" s="6" t="n"/>
      <c r="BB113" s="6" t="n"/>
      <c r="BC113" s="6" t="n"/>
      <c r="BD113" s="6" t="n"/>
      <c r="BE113" s="6" t="n"/>
      <c r="BF113" s="6" t="n"/>
      <c r="BG113" s="6" t="n"/>
      <c r="BH113" s="6" t="n"/>
      <c r="BI113" s="6" t="n"/>
    </row>
    <row r="114" ht="15" customHeight="1">
      <c r="A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c r="AA114" s="6" t="n"/>
      <c r="AB114" s="6" t="n"/>
      <c r="AC114" s="6" t="n"/>
      <c r="AD114" s="6" t="n"/>
      <c r="AF114" s="6" t="n"/>
      <c r="AH114" s="6" t="n"/>
      <c r="AI114" s="6" t="n"/>
      <c r="AJ114" s="6" t="n"/>
      <c r="AK114" s="6" t="n"/>
      <c r="AL114" s="6" t="n"/>
      <c r="AM114" s="6" t="n"/>
      <c r="AN114" s="6" t="n"/>
      <c r="AO114" s="6" t="n"/>
      <c r="AP114" s="6" t="n"/>
      <c r="AQ114" s="6" t="n"/>
      <c r="AR114" s="6" t="n"/>
      <c r="AS114" s="6" t="n"/>
      <c r="AT114" s="6" t="n"/>
      <c r="AU114" s="6" t="n"/>
      <c r="AV114" s="6" t="n"/>
      <c r="AW114" s="6" t="n"/>
      <c r="AX114" s="6" t="n"/>
      <c r="AY114" s="6" t="n"/>
      <c r="AZ114" s="6" t="n"/>
      <c r="BA114" s="6" t="n"/>
      <c r="BB114" s="6" t="n"/>
      <c r="BC114" s="6" t="n"/>
      <c r="BD114" s="6" t="n"/>
      <c r="BE114" s="6" t="n"/>
      <c r="BF114" s="6" t="n"/>
      <c r="BG114" s="6" t="n"/>
      <c r="BH114" s="6" t="n"/>
      <c r="BI114" s="6" t="n"/>
    </row>
    <row r="115" ht="15" customHeight="1">
      <c r="A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c r="AA115" s="6" t="n"/>
      <c r="AB115" s="6" t="n"/>
      <c r="AC115" s="6" t="n"/>
      <c r="AD115" s="6" t="n"/>
      <c r="AF115" s="6" t="n"/>
      <c r="AH115" s="6" t="n"/>
      <c r="AI115" s="6" t="n"/>
      <c r="AJ115" s="6" t="n"/>
      <c r="AK115" s="6" t="n"/>
      <c r="AL115" s="6" t="n"/>
      <c r="AM115" s="6" t="n"/>
      <c r="AN115" s="6" t="n"/>
      <c r="AO115" s="6" t="n"/>
      <c r="AP115" s="6" t="n"/>
      <c r="AQ115" s="6" t="n"/>
      <c r="AR115" s="6" t="n"/>
      <c r="AS115" s="6" t="n"/>
      <c r="AT115" s="6" t="n"/>
      <c r="AU115" s="6" t="n"/>
      <c r="AV115" s="6" t="n"/>
      <c r="AW115" s="6" t="n"/>
      <c r="AX115" s="6" t="n"/>
      <c r="AY115" s="6" t="n"/>
      <c r="AZ115" s="6" t="n"/>
      <c r="BA115" s="6" t="n"/>
      <c r="BB115" s="6" t="n"/>
      <c r="BC115" s="6" t="n"/>
      <c r="BD115" s="6" t="n"/>
      <c r="BE115" s="6" t="n"/>
      <c r="BF115" s="6" t="n"/>
      <c r="BG115" s="6" t="n"/>
      <c r="BH115" s="6" t="n"/>
      <c r="BI115" s="6" t="n"/>
    </row>
    <row r="116" ht="15" customHeight="1">
      <c r="A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c r="AA116" s="6" t="n"/>
      <c r="AB116" s="6" t="n"/>
      <c r="AC116" s="6" t="n"/>
      <c r="AD116" s="6" t="n"/>
      <c r="AF116" s="6" t="n"/>
      <c r="AH116" s="6" t="n"/>
      <c r="AI116" s="6" t="n"/>
      <c r="AJ116" s="6" t="n"/>
      <c r="AK116" s="6" t="n"/>
      <c r="AL116" s="6" t="n"/>
      <c r="AM116" s="6" t="n"/>
      <c r="AN116" s="6" t="n"/>
      <c r="AO116" s="6" t="n"/>
      <c r="AP116" s="6" t="n"/>
      <c r="AQ116" s="6" t="n"/>
      <c r="AR116" s="6" t="n"/>
      <c r="AS116" s="6" t="n"/>
      <c r="AT116" s="6" t="n"/>
      <c r="AU116" s="6" t="n"/>
      <c r="AV116" s="6" t="n"/>
      <c r="AW116" s="6" t="n"/>
      <c r="AX116" s="6" t="n"/>
      <c r="AY116" s="6" t="n"/>
      <c r="AZ116" s="6" t="n"/>
      <c r="BA116" s="6" t="n"/>
      <c r="BB116" s="6" t="n"/>
      <c r="BC116" s="6" t="n"/>
      <c r="BD116" s="6" t="n"/>
      <c r="BE116" s="6" t="n"/>
      <c r="BF116" s="6" t="n"/>
      <c r="BG116" s="6" t="n"/>
      <c r="BH116" s="6" t="n"/>
      <c r="BI116" s="6" t="n"/>
    </row>
    <row r="117" ht="15" customHeight="1">
      <c r="A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c r="AA117" s="6" t="n"/>
      <c r="AB117" s="6" t="n"/>
      <c r="AC117" s="6" t="n"/>
      <c r="AD117" s="6" t="n"/>
      <c r="AF117" s="6" t="n"/>
      <c r="AH117" s="6" t="n"/>
      <c r="AI117" s="6" t="n"/>
      <c r="AJ117" s="6" t="n"/>
      <c r="AK117" s="6" t="n"/>
      <c r="AL117" s="6" t="n"/>
      <c r="AM117" s="6" t="n"/>
      <c r="AN117" s="6" t="n"/>
      <c r="AO117" s="6" t="n"/>
      <c r="AP117" s="6" t="n"/>
      <c r="AQ117" s="6" t="n"/>
      <c r="AR117" s="6" t="n"/>
      <c r="AS117" s="6" t="n"/>
      <c r="AT117" s="6" t="n"/>
      <c r="AU117" s="6" t="n"/>
      <c r="AV117" s="6" t="n"/>
      <c r="AW117" s="6" t="n"/>
      <c r="AX117" s="6" t="n"/>
      <c r="AY117" s="6" t="n"/>
      <c r="AZ117" s="6" t="n"/>
      <c r="BA117" s="6" t="n"/>
      <c r="BB117" s="6" t="n"/>
      <c r="BC117" s="6" t="n"/>
      <c r="BD117" s="6" t="n"/>
      <c r="BE117" s="6" t="n"/>
      <c r="BF117" s="6" t="n"/>
      <c r="BG117" s="6" t="n"/>
      <c r="BH117" s="6" t="n"/>
      <c r="BI117" s="6" t="n"/>
    </row>
    <row r="118" ht="15" customHeight="1">
      <c r="A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c r="AA118" s="6" t="n"/>
      <c r="AB118" s="6" t="n"/>
      <c r="AC118" s="6" t="n"/>
      <c r="AD118" s="6" t="n"/>
      <c r="AF118" s="6" t="n"/>
      <c r="AH118" s="6" t="n"/>
      <c r="AI118" s="6" t="n"/>
      <c r="AJ118" s="6" t="n"/>
      <c r="AK118" s="6" t="n"/>
      <c r="AL118" s="6" t="n"/>
      <c r="AM118" s="6" t="n"/>
      <c r="AN118" s="6" t="n"/>
      <c r="AO118" s="6" t="n"/>
      <c r="AP118" s="6" t="n"/>
      <c r="AQ118" s="6" t="n"/>
      <c r="AR118" s="6" t="n"/>
      <c r="AS118" s="6" t="n"/>
      <c r="AT118" s="6" t="n"/>
      <c r="AU118" s="6" t="n"/>
      <c r="AV118" s="6" t="n"/>
      <c r="AW118" s="6" t="n"/>
      <c r="AX118" s="6" t="n"/>
      <c r="AY118" s="6" t="n"/>
      <c r="AZ118" s="6" t="n"/>
      <c r="BA118" s="6" t="n"/>
      <c r="BB118" s="6" t="n"/>
      <c r="BC118" s="6" t="n"/>
      <c r="BD118" s="6" t="n"/>
      <c r="BE118" s="6" t="n"/>
      <c r="BF118" s="6" t="n"/>
      <c r="BG118" s="6" t="n"/>
      <c r="BH118" s="6" t="n"/>
      <c r="BI118" s="6" t="n"/>
    </row>
    <row r="119" ht="15" customHeight="1">
      <c r="A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c r="AA119" s="6" t="n"/>
      <c r="AB119" s="6" t="n"/>
      <c r="AC119" s="6" t="n"/>
      <c r="AD119" s="6" t="n"/>
      <c r="AF119" s="6" t="n"/>
      <c r="AH119" s="6" t="n"/>
      <c r="AI119" s="6" t="n"/>
      <c r="AJ119" s="6" t="n"/>
      <c r="AK119" s="6" t="n"/>
      <c r="AL119" s="6" t="n"/>
      <c r="AM119" s="6" t="n"/>
      <c r="AN119" s="6" t="n"/>
      <c r="AO119" s="6" t="n"/>
      <c r="AP119" s="6" t="n"/>
      <c r="AQ119" s="6" t="n"/>
      <c r="AR119" s="6" t="n"/>
      <c r="AS119" s="6" t="n"/>
      <c r="AT119" s="6" t="n"/>
      <c r="AU119" s="6" t="n"/>
      <c r="AV119" s="6" t="n"/>
      <c r="AW119" s="6" t="n"/>
      <c r="AX119" s="6" t="n"/>
      <c r="AY119" s="6" t="n"/>
      <c r="AZ119" s="6" t="n"/>
      <c r="BA119" s="6" t="n"/>
      <c r="BB119" s="6" t="n"/>
      <c r="BC119" s="6" t="n"/>
      <c r="BD119" s="6" t="n"/>
      <c r="BE119" s="6" t="n"/>
      <c r="BF119" s="6" t="n"/>
      <c r="BG119" s="6" t="n"/>
      <c r="BH119" s="6" t="n"/>
      <c r="BI119" s="6" t="n"/>
    </row>
    <row r="120" ht="24.75" customHeight="1">
      <c r="A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c r="AA120" s="6" t="n"/>
      <c r="AB120" s="6" t="n"/>
      <c r="AC120" s="6" t="n"/>
      <c r="AD120" s="6" t="n"/>
      <c r="AF120" s="6" t="n"/>
      <c r="AH120" s="6" t="n"/>
      <c r="AI120" s="6" t="n"/>
      <c r="AJ120" s="6" t="n"/>
      <c r="AK120" s="6" t="n"/>
      <c r="AL120" s="6" t="n"/>
      <c r="AM120" s="6" t="n"/>
      <c r="AN120" s="6" t="n"/>
      <c r="AO120" s="6" t="n"/>
      <c r="AP120" s="6" t="n"/>
      <c r="AQ120" s="6" t="n"/>
      <c r="AR120" s="6" t="n"/>
      <c r="AS120" s="6" t="n"/>
      <c r="AT120" s="6" t="n"/>
      <c r="AU120" s="6" t="n"/>
      <c r="AV120" s="6" t="n"/>
      <c r="AW120" s="6" t="n"/>
      <c r="AX120" s="6" t="n"/>
      <c r="AY120" s="6" t="n"/>
      <c r="AZ120" s="6" t="n"/>
      <c r="BA120" s="6" t="n"/>
      <c r="BB120" s="6" t="n"/>
      <c r="BC120" s="6" t="n"/>
      <c r="BD120" s="6" t="n"/>
      <c r="BE120" s="6" t="n"/>
      <c r="BF120" s="6" t="n"/>
      <c r="BG120" s="6" t="n"/>
      <c r="BH120" s="6" t="n"/>
      <c r="BI120" s="6" t="n"/>
    </row>
    <row r="121" ht="15" customHeight="1">
      <c r="A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c r="AA121" s="6" t="n"/>
      <c r="AB121" s="6" t="n"/>
      <c r="AC121" s="6" t="n"/>
      <c r="AD121" s="6" t="n"/>
      <c r="AF121" s="6" t="n"/>
      <c r="AH121" s="6" t="n"/>
      <c r="AI121" s="6" t="n"/>
      <c r="AJ121" s="6" t="n"/>
      <c r="AK121" s="6" t="n"/>
      <c r="AL121" s="6" t="n"/>
      <c r="AM121" s="6" t="n"/>
      <c r="AN121" s="6" t="n"/>
      <c r="AO121" s="6" t="n"/>
      <c r="AP121" s="6" t="n"/>
      <c r="AQ121" s="6" t="n"/>
      <c r="AR121" s="6" t="n"/>
      <c r="AS121" s="6" t="n"/>
      <c r="AT121" s="6" t="n"/>
      <c r="AU121" s="6" t="n"/>
      <c r="AV121" s="6" t="n"/>
      <c r="AW121" s="6" t="n"/>
      <c r="AX121" s="6" t="n"/>
      <c r="AY121" s="6" t="n"/>
      <c r="AZ121" s="6" t="n"/>
      <c r="BA121" s="6" t="n"/>
      <c r="BB121" s="6" t="n"/>
      <c r="BC121" s="6" t="n"/>
      <c r="BD121" s="6" t="n"/>
      <c r="BE121" s="6" t="n"/>
      <c r="BF121" s="6" t="n"/>
      <c r="BG121" s="6" t="n"/>
      <c r="BH121" s="6" t="n"/>
      <c r="BI121" s="6" t="n"/>
    </row>
    <row r="122" ht="15" customHeight="1">
      <c r="A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c r="AA122" s="6" t="n"/>
      <c r="AB122" s="6" t="n"/>
      <c r="AC122" s="6" t="n"/>
      <c r="AD122" s="6" t="n"/>
      <c r="AF122" s="6" t="n"/>
      <c r="AH122" s="6" t="n"/>
      <c r="AI122" s="6" t="n"/>
      <c r="AJ122" s="6" t="n"/>
      <c r="AK122" s="6" t="n"/>
      <c r="AL122" s="6" t="n"/>
      <c r="AM122" s="6" t="n"/>
      <c r="AN122" s="6" t="n"/>
      <c r="AO122" s="6" t="n"/>
      <c r="AP122" s="6" t="n"/>
      <c r="AQ122" s="6" t="n"/>
      <c r="AR122" s="6" t="n"/>
      <c r="AS122" s="6" t="n"/>
      <c r="AT122" s="6" t="n"/>
      <c r="AU122" s="6" t="n"/>
      <c r="AV122" s="6" t="n"/>
      <c r="AW122" s="6" t="n"/>
      <c r="AX122" s="6" t="n"/>
      <c r="AY122" s="6" t="n"/>
      <c r="AZ122" s="6" t="n"/>
      <c r="BA122" s="6" t="n"/>
      <c r="BB122" s="6" t="n"/>
      <c r="BC122" s="6" t="n"/>
      <c r="BD122" s="6" t="n"/>
      <c r="BE122" s="6" t="n"/>
      <c r="BF122" s="6" t="n"/>
      <c r="BG122" s="6" t="n"/>
      <c r="BH122" s="6" t="n"/>
      <c r="BI122" s="6" t="n"/>
    </row>
    <row r="123" ht="15" customHeight="1">
      <c r="A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c r="AA123" s="6" t="n"/>
      <c r="AB123" s="6" t="n"/>
      <c r="AC123" s="6" t="n"/>
      <c r="AD123" s="6" t="n"/>
      <c r="AF123" s="6" t="n"/>
      <c r="AH123" s="6" t="n"/>
      <c r="AI123" s="6" t="n"/>
      <c r="AJ123" s="6" t="n"/>
      <c r="AK123" s="6" t="n"/>
      <c r="AL123" s="6" t="n"/>
      <c r="AM123" s="6" t="n"/>
      <c r="AN123" s="6" t="n"/>
      <c r="AO123" s="6" t="n"/>
      <c r="AP123" s="6" t="n"/>
      <c r="AQ123" s="6" t="n"/>
      <c r="AR123" s="6" t="n"/>
      <c r="AS123" s="6" t="n"/>
      <c r="AT123" s="6" t="n"/>
      <c r="AU123" s="6" t="n"/>
      <c r="AV123" s="6" t="n"/>
      <c r="AW123" s="6" t="n"/>
      <c r="AX123" s="6" t="n"/>
      <c r="AY123" s="6" t="n"/>
      <c r="AZ123" s="6" t="n"/>
      <c r="BA123" s="6" t="n"/>
      <c r="BB123" s="6" t="n"/>
      <c r="BC123" s="6" t="n"/>
      <c r="BD123" s="6" t="n"/>
      <c r="BE123" s="6" t="n"/>
      <c r="BF123" s="6" t="n"/>
      <c r="BG123" s="6" t="n"/>
      <c r="BH123" s="6" t="n"/>
      <c r="BI123" s="6" t="n"/>
    </row>
    <row r="124" ht="15" customHeight="1">
      <c r="A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c r="AA124" s="6" t="n"/>
      <c r="AB124" s="6" t="n"/>
      <c r="AC124" s="6" t="n"/>
      <c r="AD124" s="6" t="n"/>
      <c r="AF124" s="6" t="n"/>
      <c r="AH124" s="6" t="n"/>
      <c r="AI124" s="6" t="n"/>
      <c r="AJ124" s="6" t="n"/>
      <c r="AK124" s="6" t="n"/>
      <c r="AL124" s="6" t="n"/>
      <c r="AM124" s="6" t="n"/>
      <c r="AN124" s="6" t="n"/>
      <c r="AO124" s="6" t="n"/>
      <c r="AP124" s="6" t="n"/>
      <c r="AQ124" s="6" t="n"/>
      <c r="AR124" s="6" t="n"/>
      <c r="AS124" s="6" t="n"/>
      <c r="AT124" s="6" t="n"/>
      <c r="AU124" s="6" t="n"/>
      <c r="AV124" s="6" t="n"/>
      <c r="AW124" s="6" t="n"/>
      <c r="AX124" s="6" t="n"/>
      <c r="AY124" s="6" t="n"/>
      <c r="AZ124" s="6" t="n"/>
      <c r="BA124" s="6" t="n"/>
      <c r="BB124" s="6" t="n"/>
      <c r="BC124" s="6" t="n"/>
      <c r="BD124" s="6" t="n"/>
      <c r="BE124" s="6" t="n"/>
      <c r="BF124" s="6" t="n"/>
      <c r="BG124" s="6" t="n"/>
      <c r="BH124" s="6" t="n"/>
      <c r="BI124" s="6" t="n"/>
    </row>
    <row r="125" ht="36.75" customFormat="1" customHeight="1" s="1">
      <c r="A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c r="AA125" s="6" t="n"/>
      <c r="AB125" s="6" t="n"/>
      <c r="AC125" s="6" t="n"/>
      <c r="AD125" s="6" t="n"/>
      <c r="AF125" s="6" t="n"/>
      <c r="AH125" s="6" t="n"/>
      <c r="AI125" s="6" t="n"/>
      <c r="AJ125" s="6" t="n"/>
      <c r="AK125" s="6" t="n"/>
      <c r="AL125" s="6" t="n"/>
      <c r="AM125" s="6" t="n"/>
      <c r="AN125" s="6" t="n"/>
      <c r="AO125" s="6" t="n"/>
      <c r="AP125" s="6" t="n"/>
      <c r="AQ125" s="6" t="n"/>
      <c r="AR125" s="6" t="n"/>
      <c r="AS125" s="6" t="n"/>
      <c r="AT125" s="6" t="n"/>
      <c r="AU125" s="6" t="n"/>
      <c r="AV125" s="6" t="n"/>
      <c r="AW125" s="6" t="n"/>
      <c r="AX125" s="6" t="n"/>
      <c r="AY125" s="6" t="n"/>
      <c r="AZ125" s="6" t="n"/>
      <c r="BA125" s="6" t="n"/>
      <c r="BB125" s="6" t="n"/>
      <c r="BC125" s="6" t="n"/>
      <c r="BD125" s="6" t="n"/>
      <c r="BE125" s="6" t="n"/>
      <c r="BF125" s="6" t="n"/>
      <c r="BG125" s="6" t="n"/>
      <c r="BH125" s="6" t="n"/>
      <c r="BI125" s="6" t="n"/>
    </row>
    <row r="126" ht="15" customHeight="1">
      <c r="A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c r="AA126" s="6" t="n"/>
      <c r="AB126" s="6" t="n"/>
      <c r="AC126" s="6" t="n"/>
      <c r="AD126" s="6" t="n"/>
      <c r="AF126" s="6" t="n"/>
      <c r="AH126" s="6" t="n"/>
      <c r="AI126" s="6" t="n"/>
      <c r="AJ126" s="6" t="n"/>
      <c r="AK126" s="6" t="n"/>
      <c r="AL126" s="6" t="n"/>
      <c r="AM126" s="6" t="n"/>
      <c r="AN126" s="6" t="n"/>
      <c r="AO126" s="6" t="n"/>
      <c r="AP126" s="6" t="n"/>
      <c r="AQ126" s="6" t="n"/>
      <c r="AR126" s="6" t="n"/>
      <c r="AS126" s="6" t="n"/>
      <c r="AT126" s="6" t="n"/>
      <c r="AU126" s="6" t="n"/>
      <c r="AV126" s="6" t="n"/>
      <c r="AW126" s="6" t="n"/>
      <c r="AX126" s="6" t="n"/>
      <c r="AY126" s="6" t="n"/>
      <c r="AZ126" s="6" t="n"/>
      <c r="BA126" s="6" t="n"/>
      <c r="BB126" s="6" t="n"/>
      <c r="BC126" s="6" t="n"/>
      <c r="BD126" s="6" t="n"/>
      <c r="BE126" s="6" t="n"/>
      <c r="BF126" s="6" t="n"/>
      <c r="BG126" s="6" t="n"/>
      <c r="BH126" s="6" t="n"/>
      <c r="BI126" s="6" t="n"/>
    </row>
    <row r="127" ht="15" customHeight="1">
      <c r="A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c r="AA127" s="6" t="n"/>
      <c r="AB127" s="6" t="n"/>
      <c r="AC127" s="6" t="n"/>
      <c r="AD127" s="6" t="n"/>
      <c r="AF127" s="6" t="n"/>
      <c r="AH127" s="6" t="n"/>
      <c r="AI127" s="6" t="n"/>
      <c r="AJ127" s="6" t="n"/>
      <c r="AK127" s="6" t="n"/>
      <c r="AL127" s="6" t="n"/>
      <c r="AM127" s="6" t="n"/>
      <c r="AN127" s="6" t="n"/>
      <c r="AO127" s="6" t="n"/>
      <c r="AP127" s="6" t="n"/>
      <c r="AQ127" s="6" t="n"/>
      <c r="AR127" s="6" t="n"/>
      <c r="AS127" s="6" t="n"/>
      <c r="AT127" s="6" t="n"/>
      <c r="AU127" s="6" t="n"/>
      <c r="AV127" s="6" t="n"/>
      <c r="AW127" s="6" t="n"/>
      <c r="AX127" s="6" t="n"/>
      <c r="AY127" s="6" t="n"/>
      <c r="AZ127" s="6" t="n"/>
      <c r="BA127" s="6" t="n"/>
      <c r="BB127" s="6" t="n"/>
      <c r="BC127" s="6" t="n"/>
      <c r="BD127" s="6" t="n"/>
      <c r="BE127" s="6" t="n"/>
      <c r="BF127" s="6" t="n"/>
      <c r="BG127" s="6" t="n"/>
      <c r="BH127" s="6" t="n"/>
      <c r="BI127" s="6" t="n"/>
    </row>
    <row r="128" ht="15" customHeight="1">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c r="AA128" s="6" t="n"/>
      <c r="AB128" s="6" t="n"/>
      <c r="AC128" s="6" t="n"/>
      <c r="AD128" s="6" t="n"/>
      <c r="AF128" s="6" t="n"/>
      <c r="AH128" s="6" t="n"/>
      <c r="AI128" s="6" t="n"/>
      <c r="AJ128" s="6" t="n"/>
      <c r="AK128" s="6" t="n"/>
      <c r="AL128" s="6" t="n"/>
      <c r="AM128" s="6" t="n"/>
      <c r="AN128" s="6" t="n"/>
      <c r="AO128" s="6" t="n"/>
      <c r="AP128" s="6" t="n"/>
      <c r="AQ128" s="6" t="n"/>
      <c r="AR128" s="6" t="n"/>
      <c r="AS128" s="6" t="n"/>
      <c r="AT128" s="6" t="n"/>
      <c r="AU128" s="6" t="n"/>
      <c r="AV128" s="6" t="n"/>
      <c r="AW128" s="6" t="n"/>
      <c r="AX128" s="6" t="n"/>
      <c r="AY128" s="6" t="n"/>
      <c r="AZ128" s="6" t="n"/>
      <c r="BA128" s="6" t="n"/>
      <c r="BB128" s="6" t="n"/>
      <c r="BC128" s="6" t="n"/>
      <c r="BD128" s="6" t="n"/>
      <c r="BE128" s="6" t="n"/>
      <c r="BF128" s="6" t="n"/>
      <c r="BG128" s="6" t="n"/>
      <c r="BH128" s="6" t="n"/>
      <c r="BI128" s="6" t="n"/>
    </row>
    <row r="129" ht="15" customHeight="1">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c r="AA129" s="6" t="n"/>
      <c r="AB129" s="6" t="n"/>
      <c r="AC129" s="6" t="n"/>
      <c r="AD129" s="6" t="n"/>
      <c r="AF129" s="6" t="n"/>
      <c r="AG129" s="6" t="n"/>
      <c r="AH129" s="6" t="n"/>
      <c r="AI129" s="6" t="n"/>
      <c r="AJ129" s="6" t="n"/>
      <c r="AK129" s="6" t="n"/>
      <c r="AL129" s="6" t="n"/>
      <c r="AM129" s="6" t="n"/>
      <c r="AN129" s="6" t="n"/>
      <c r="AO129" s="6" t="n"/>
      <c r="AP129" s="6" t="n"/>
      <c r="AQ129" s="6" t="n"/>
      <c r="AR129" s="6" t="n"/>
      <c r="AS129" s="6" t="n"/>
      <c r="AT129" s="6" t="n"/>
      <c r="AU129" s="6" t="n"/>
      <c r="AV129" s="6" t="n"/>
      <c r="AW129" s="6" t="n"/>
      <c r="AX129" s="6" t="n"/>
      <c r="AY129" s="6" t="n"/>
      <c r="AZ129" s="6" t="n"/>
      <c r="BA129" s="6" t="n"/>
      <c r="BB129" s="6" t="n"/>
      <c r="BC129" s="6" t="n"/>
      <c r="BD129" s="6" t="n"/>
      <c r="BE129" s="6" t="n"/>
      <c r="BF129" s="6" t="n"/>
      <c r="BG129" s="6" t="n"/>
      <c r="BH129" s="6" t="n"/>
      <c r="BI129" s="6" t="n"/>
    </row>
  </sheetData>
  <mergeCells count="13">
    <mergeCell ref="D5:AC5"/>
    <mergeCell ref="AY101:AZ101"/>
    <mergeCell ref="D6:AC8"/>
    <mergeCell ref="AW99:BB100"/>
    <mergeCell ref="AG5:AG128"/>
    <mergeCell ref="AW102:BB103"/>
    <mergeCell ref="AI5:BH5"/>
    <mergeCell ref="AI6:BH8"/>
    <mergeCell ref="D52:S52"/>
    <mergeCell ref="D10:AC10"/>
    <mergeCell ref="B5:B127"/>
    <mergeCell ref="AY98:AZ98"/>
    <mergeCell ref="D33:S33"/>
  </mergeCells>
  <printOptions horizontalCentered="1" verticalCentered="1"/>
  <pageMargins left="0.25" right="0.25" top="0.75" bottom="0.75" header="0.3" footer="0.3"/>
  <pageSetup orientation="portrait" paperSize="9" scale="36" fitToHeight="0" fitToWidth="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12"/>
  <sheetViews>
    <sheetView workbookViewId="0">
      <selection activeCell="B10" sqref="B10:I12"/>
    </sheetView>
  </sheetViews>
  <sheetFormatPr baseColWidth="8" defaultRowHeight="15"/>
  <cols>
    <col width="30.28515625" bestFit="1" customWidth="1" min="1" max="1"/>
    <col width="14.42578125" bestFit="1" customWidth="1" min="2" max="2"/>
    <col width="17" customWidth="1" min="3" max="3"/>
    <col width="18.42578125" customWidth="1" min="4" max="4"/>
    <col width="14.42578125" bestFit="1" customWidth="1" min="5" max="9"/>
  </cols>
  <sheetData>
    <row r="1" ht="22.5" customHeight="1">
      <c r="A1" s="67" t="n"/>
      <c r="B1" s="69" t="n"/>
      <c r="C1" s="71" t="n"/>
      <c r="D1" s="71" t="n"/>
      <c r="E1" s="69" t="n"/>
      <c r="F1" s="69" t="n"/>
      <c r="G1" s="69" t="n"/>
      <c r="H1" s="69" t="n"/>
      <c r="I1" s="69" t="n"/>
      <c r="J1" s="69" t="n"/>
      <c r="K1" s="69" t="n"/>
      <c r="L1" s="69" t="n"/>
      <c r="M1" s="69" t="n"/>
    </row>
    <row r="2">
      <c r="A2" s="67" t="n"/>
      <c r="B2" s="68" t="n"/>
      <c r="C2" s="68" t="n"/>
      <c r="D2" s="68" t="n"/>
      <c r="E2" s="68" t="n"/>
      <c r="F2" s="68" t="n"/>
      <c r="G2" s="68" t="n"/>
      <c r="H2" s="68" t="n"/>
      <c r="I2" s="68" t="n"/>
      <c r="J2" s="68" t="n"/>
      <c r="K2" s="68" t="n"/>
      <c r="L2" s="68" t="n"/>
      <c r="M2" s="68" t="n"/>
    </row>
    <row r="3">
      <c r="A3" s="67" t="n"/>
      <c r="B3" s="68" t="n"/>
      <c r="C3" s="68" t="n"/>
      <c r="D3" s="68" t="n"/>
      <c r="E3" s="68" t="n"/>
      <c r="F3" s="68" t="n"/>
      <c r="G3" s="68" t="n"/>
      <c r="H3" s="68" t="n"/>
      <c r="I3" s="68" t="n"/>
      <c r="J3" s="68" t="n"/>
      <c r="K3" s="68" t="n"/>
      <c r="L3" s="68" t="n"/>
      <c r="M3" s="68" t="n"/>
    </row>
    <row r="4">
      <c r="A4" s="67" t="n"/>
      <c r="B4" s="68" t="n"/>
      <c r="C4" s="68" t="n"/>
      <c r="D4" s="68" t="n"/>
      <c r="E4" s="68" t="n"/>
      <c r="F4" s="68" t="n"/>
      <c r="G4" s="68" t="n"/>
      <c r="H4" s="68" t="n"/>
      <c r="I4" s="68" t="n"/>
      <c r="J4" s="68" t="n"/>
      <c r="K4" s="68" t="n"/>
      <c r="L4" s="68" t="n"/>
      <c r="M4" s="68" t="n"/>
    </row>
    <row r="5">
      <c r="A5" s="67" t="n"/>
      <c r="B5" s="68" t="n"/>
      <c r="C5" s="68" t="n"/>
      <c r="D5" s="68" t="n"/>
      <c r="E5" s="68" t="n"/>
      <c r="F5" s="68" t="n"/>
      <c r="G5" s="68" t="n"/>
      <c r="H5" s="68" t="n"/>
      <c r="I5" s="68" t="n"/>
      <c r="J5" s="68" t="n"/>
      <c r="K5" s="68" t="n"/>
      <c r="L5" s="68" t="n"/>
      <c r="M5" s="68" t="n"/>
    </row>
    <row r="6">
      <c r="A6" s="67" t="n"/>
      <c r="B6" s="68" t="n"/>
      <c r="C6" s="68" t="n"/>
      <c r="D6" s="68" t="n"/>
      <c r="E6" s="68" t="n"/>
      <c r="F6" s="68" t="n"/>
      <c r="G6" s="68" t="n"/>
      <c r="H6" s="68" t="n"/>
      <c r="I6" s="68" t="n"/>
      <c r="J6" s="68" t="n"/>
      <c r="K6" s="68" t="n"/>
      <c r="L6" s="68" t="n"/>
      <c r="M6" s="68" t="n"/>
    </row>
    <row r="7">
      <c r="A7" s="67" t="n"/>
      <c r="B7" s="68" t="n"/>
      <c r="C7" s="68" t="n"/>
      <c r="D7" s="68" t="n"/>
      <c r="E7" s="68" t="n"/>
      <c r="F7" s="68" t="n"/>
      <c r="G7" s="68" t="n"/>
      <c r="H7" s="68" t="n"/>
      <c r="I7" s="68" t="n"/>
      <c r="J7" s="68" t="n"/>
      <c r="K7" s="68" t="n"/>
      <c r="L7" s="68" t="n"/>
      <c r="M7" s="68" t="n"/>
    </row>
    <row r="8">
      <c r="A8" s="67" t="n"/>
      <c r="B8" s="68" t="n"/>
      <c r="C8" s="68" t="n"/>
      <c r="D8" s="68" t="n"/>
      <c r="E8" s="68" t="n"/>
      <c r="F8" s="68" t="n"/>
      <c r="G8" s="68" t="n"/>
      <c r="H8" s="68" t="n"/>
      <c r="I8" s="68" t="n"/>
      <c r="J8" s="68" t="n"/>
      <c r="K8" s="68" t="n"/>
      <c r="L8" s="68" t="n"/>
      <c r="M8" s="68" t="n"/>
    </row>
    <row r="9">
      <c r="A9" s="67" t="n"/>
      <c r="B9" s="68" t="n"/>
      <c r="C9" s="68" t="n"/>
      <c r="D9" s="68" t="n"/>
      <c r="E9" s="68" t="n"/>
      <c r="F9" s="68" t="n"/>
      <c r="G9" s="68" t="n"/>
      <c r="H9" s="68" t="n"/>
      <c r="I9" s="68" t="n"/>
      <c r="J9" s="68" t="n"/>
      <c r="K9" s="68" t="n"/>
      <c r="L9" s="68" t="n"/>
      <c r="M9" s="68" t="n"/>
    </row>
    <row r="10">
      <c r="A10" s="67" t="n"/>
      <c r="B10" s="68" t="n"/>
      <c r="C10" s="68" t="n"/>
      <c r="D10" s="68" t="n"/>
      <c r="E10" s="68" t="n"/>
      <c r="F10" s="68" t="n"/>
      <c r="G10" s="68" t="n"/>
      <c r="H10" s="68" t="n"/>
      <c r="I10" s="68" t="n"/>
      <c r="J10" s="68" t="n"/>
      <c r="K10" s="68" t="n"/>
      <c r="L10" s="68" t="n"/>
      <c r="M10" s="68" t="n"/>
    </row>
    <row r="11">
      <c r="A11" s="67" t="n"/>
      <c r="B11" s="68" t="n"/>
      <c r="C11" s="68" t="n"/>
      <c r="D11" s="68" t="n"/>
      <c r="E11" s="68" t="n"/>
      <c r="F11" s="68" t="n"/>
      <c r="G11" s="68" t="n"/>
      <c r="H11" s="68" t="n"/>
      <c r="I11" s="68" t="n"/>
      <c r="J11" s="68" t="n"/>
      <c r="K11" s="68" t="n"/>
      <c r="L11" s="68" t="n"/>
      <c r="M11" s="68" t="n"/>
    </row>
    <row r="12">
      <c r="A12" s="67" t="n"/>
      <c r="B12" s="68" t="n"/>
      <c r="C12" s="68" t="n"/>
      <c r="D12" s="68" t="n"/>
      <c r="E12" s="68" t="n"/>
      <c r="F12" s="68" t="n"/>
      <c r="G12" s="68" t="n"/>
      <c r="H12" s="68" t="n"/>
      <c r="I12" s="68" t="n"/>
      <c r="J12" s="68" t="n"/>
      <c r="K12" s="68" t="n"/>
      <c r="L12" s="68" t="n"/>
      <c r="M12" s="68" t="n"/>
    </row>
  </sheetData>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M12"/>
  <sheetViews>
    <sheetView workbookViewId="0">
      <selection activeCell="G13" sqref="G13"/>
    </sheetView>
  </sheetViews>
  <sheetFormatPr baseColWidth="8" defaultRowHeight="15"/>
  <cols>
    <col width="26" bestFit="1" customWidth="1" min="1" max="1"/>
    <col width="29.140625" customWidth="1" min="2" max="3"/>
    <col width="23.28515625" customWidth="1" min="4" max="4"/>
    <col width="21.7109375" customWidth="1" min="5" max="5"/>
    <col width="21.42578125" customWidth="1" min="6" max="6"/>
    <col width="18.7109375" customWidth="1" min="7" max="7"/>
  </cols>
  <sheetData>
    <row r="1" ht="33" customHeight="1">
      <c r="A1" s="67" t="inlineStr">
        <is>
          <t>ID ou DESCRIÇÃO DO ITEM</t>
        </is>
      </c>
      <c r="B1" s="69" t="n"/>
      <c r="C1" s="69" t="n"/>
      <c r="D1" s="69" t="n"/>
      <c r="E1" s="69" t="n"/>
      <c r="F1" s="69" t="n"/>
      <c r="G1" s="69" t="n"/>
      <c r="H1" s="69" t="n"/>
      <c r="I1" s="69" t="n"/>
      <c r="J1" s="69" t="n"/>
      <c r="K1" s="69" t="n"/>
      <c r="L1" s="69" t="n"/>
      <c r="M1" s="69" t="n"/>
    </row>
    <row r="2">
      <c r="A2" s="67" t="inlineStr">
        <is>
          <t>PO (DOCS, LINKS, LEIS, ETC.)</t>
        </is>
      </c>
      <c r="B2" s="68" t="n"/>
      <c r="C2" s="68" t="n"/>
      <c r="D2" s="68" t="n"/>
      <c r="E2" s="68" t="n"/>
      <c r="F2" s="68" t="n"/>
      <c r="G2" s="68" t="n"/>
      <c r="H2" s="68" t="n"/>
      <c r="I2" s="68" t="n"/>
      <c r="J2" s="68" t="n"/>
      <c r="K2" s="68" t="n"/>
      <c r="L2" s="68" t="n"/>
      <c r="M2" s="68" t="n"/>
    </row>
    <row r="3">
      <c r="A3" s="67" t="inlineStr">
        <is>
          <t>REQUISITOS</t>
        </is>
      </c>
      <c r="B3" s="68" t="n"/>
      <c r="C3" s="68" t="n"/>
      <c r="D3" s="68" t="n"/>
      <c r="E3" s="68" t="n"/>
      <c r="F3" s="68" t="n"/>
      <c r="G3" s="68" t="n"/>
      <c r="H3" s="68" t="n"/>
      <c r="I3" s="68" t="n"/>
      <c r="J3" s="68" t="n"/>
      <c r="K3" s="68" t="n"/>
      <c r="L3" s="68" t="n"/>
      <c r="M3" s="68" t="n"/>
    </row>
    <row r="4">
      <c r="A4" s="67" t="inlineStr">
        <is>
          <t>UX/UI  (DESKTOP)</t>
        </is>
      </c>
      <c r="B4" s="68" t="n"/>
      <c r="C4" s="68" t="n"/>
      <c r="D4" s="68" t="n"/>
      <c r="E4" s="68" t="n"/>
      <c r="F4" s="68" t="n"/>
      <c r="G4" s="68" t="n"/>
      <c r="H4" s="68" t="n"/>
      <c r="I4" s="68" t="n"/>
      <c r="J4" s="68" t="n"/>
      <c r="K4" s="68" t="n"/>
      <c r="L4" s="68" t="n"/>
      <c r="M4" s="68" t="n"/>
    </row>
    <row r="5">
      <c r="A5" s="67" t="inlineStr">
        <is>
          <t>UX/UI  (MOBILE)</t>
        </is>
      </c>
      <c r="B5" s="68" t="n"/>
      <c r="C5" s="68" t="n"/>
      <c r="D5" s="68" t="n"/>
      <c r="E5" s="68" t="n"/>
      <c r="F5" s="68" t="n"/>
      <c r="G5" s="68" t="n"/>
      <c r="H5" s="68" t="n"/>
      <c r="I5" s="68" t="n"/>
      <c r="J5" s="68" t="n"/>
      <c r="K5" s="68" t="n"/>
      <c r="L5" s="68" t="n"/>
      <c r="M5" s="68" t="n"/>
    </row>
    <row r="6">
      <c r="A6" s="67" t="inlineStr">
        <is>
          <t>BENCHMARK COMPONENTES - DEV</t>
        </is>
      </c>
      <c r="B6" s="68" t="n"/>
      <c r="C6" s="68" t="n"/>
      <c r="D6" s="68" t="n"/>
      <c r="E6" s="68" t="n"/>
      <c r="F6" s="68" t="n"/>
      <c r="G6" s="68" t="n"/>
      <c r="H6" s="68" t="n"/>
      <c r="I6" s="68" t="n"/>
      <c r="J6" s="68" t="n"/>
      <c r="K6" s="68" t="n"/>
      <c r="L6" s="68" t="n"/>
      <c r="M6" s="68" t="n"/>
    </row>
    <row r="7">
      <c r="A7" s="67" t="inlineStr">
        <is>
          <t>CONSTRUCAO COMPONENTES - DEV</t>
        </is>
      </c>
      <c r="B7" s="68" t="n"/>
      <c r="C7" s="68" t="n"/>
      <c r="D7" s="68" t="n"/>
      <c r="E7" s="68" t="n"/>
      <c r="F7" s="68" t="n"/>
      <c r="G7" s="68" t="n"/>
      <c r="H7" s="68" t="n"/>
      <c r="I7" s="68" t="n"/>
      <c r="J7" s="68" t="n"/>
      <c r="K7" s="68" t="n"/>
      <c r="L7" s="68" t="n"/>
      <c r="M7" s="68" t="n"/>
    </row>
    <row r="8">
      <c r="A8" s="67" t="inlineStr">
        <is>
          <t>TESTES- DEV</t>
        </is>
      </c>
      <c r="B8" s="68" t="n"/>
      <c r="C8" s="68" t="n"/>
      <c r="D8" s="68" t="n"/>
      <c r="E8" s="68" t="n"/>
      <c r="F8" s="68" t="n"/>
      <c r="G8" s="68" t="n"/>
      <c r="H8" s="68" t="n"/>
      <c r="I8" s="68" t="n"/>
      <c r="J8" s="68" t="n"/>
      <c r="K8" s="68" t="n"/>
      <c r="L8" s="68" t="n"/>
      <c r="M8" s="68" t="n"/>
    </row>
    <row r="9">
      <c r="A9" s="67" t="inlineStr">
        <is>
          <t>REGISTRO e PUBLICAÇÃO (Storybook) - DEV</t>
        </is>
      </c>
      <c r="B9" s="68" t="n"/>
      <c r="C9" s="68" t="n"/>
      <c r="D9" s="68" t="n"/>
      <c r="E9" s="68" t="n"/>
      <c r="F9" s="68" t="n"/>
      <c r="G9" s="68" t="n"/>
      <c r="H9" s="68" t="n"/>
      <c r="I9" s="68" t="n"/>
      <c r="J9" s="68" t="n"/>
      <c r="K9" s="68" t="n"/>
      <c r="L9" s="68" t="n"/>
      <c r="M9" s="68" t="n"/>
    </row>
    <row r="10">
      <c r="A10" s="67" t="n"/>
      <c r="B10" s="68" t="n"/>
      <c r="C10" s="68" t="n"/>
      <c r="D10" s="68" t="n"/>
      <c r="E10" s="68" t="n"/>
      <c r="F10" s="68" t="n"/>
      <c r="G10" s="68" t="n"/>
      <c r="H10" s="68" t="n"/>
      <c r="I10" s="68" t="n"/>
      <c r="J10" s="68" t="n"/>
      <c r="K10" s="68" t="n"/>
      <c r="L10" s="68" t="n"/>
      <c r="M10" s="68" t="n"/>
    </row>
    <row r="11">
      <c r="A11" s="67" t="n"/>
      <c r="B11" s="68" t="n"/>
      <c r="C11" s="68" t="n"/>
      <c r="D11" s="68" t="n"/>
      <c r="E11" s="68" t="n"/>
      <c r="F11" s="68" t="n"/>
      <c r="G11" s="68" t="n"/>
      <c r="H11" s="68" t="n"/>
      <c r="I11" s="68" t="n"/>
      <c r="J11" s="68" t="n"/>
      <c r="K11" s="68" t="n"/>
      <c r="L11" s="68" t="n"/>
      <c r="M11" s="68" t="n"/>
    </row>
    <row r="12">
      <c r="A12" s="67" t="n"/>
      <c r="B12" s="68" t="n"/>
      <c r="C12" s="68" t="n"/>
      <c r="D12" s="68" t="n"/>
      <c r="E12" s="68" t="n"/>
      <c r="F12" s="68" t="n"/>
      <c r="G12" s="68" t="n"/>
      <c r="H12" s="68" t="n"/>
      <c r="I12" s="68" t="n"/>
      <c r="J12" s="68" t="n"/>
      <c r="K12" s="68" t="n"/>
      <c r="L12" s="68" t="n"/>
      <c r="M12" s="68" t="n"/>
    </row>
  </sheetData>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B200"/>
  <sheetViews>
    <sheetView workbookViewId="0">
      <selection activeCell="A18" sqref="A18"/>
    </sheetView>
  </sheetViews>
  <sheetFormatPr baseColWidth="8" defaultRowHeight="15"/>
  <cols>
    <col width="47" customWidth="1" min="1" max="1"/>
    <col width="120.7109375" customWidth="1" style="2" min="2" max="2"/>
  </cols>
  <sheetData>
    <row r="1">
      <c r="A1" s="54" t="inlineStr">
        <is>
          <t>PROJETO</t>
        </is>
      </c>
      <c r="B1" s="55" t="n"/>
    </row>
    <row r="2">
      <c r="A2" s="54" t="inlineStr">
        <is>
          <t>NOME DO GERENTE DO PROJETO</t>
        </is>
      </c>
      <c r="B2" s="55" t="n"/>
    </row>
    <row r="3">
      <c r="A3" s="54" t="inlineStr">
        <is>
          <t>link para LINKEDIN DO GERENTE DO PROJETO</t>
        </is>
      </c>
      <c r="B3" s="56" t="n"/>
    </row>
    <row r="4" ht="45.75" customHeight="1">
      <c r="A4" s="54" t="inlineStr">
        <is>
          <t>PRODUCT GOAL (OBJETIVO DO PROJETO)</t>
        </is>
      </c>
      <c r="B4" s="57" t="n"/>
    </row>
    <row r="5" ht="45.75" customHeight="1">
      <c r="A5" s="54" t="inlineStr">
        <is>
          <t>SPRINT GOAL (OBJETIVO DA SPRINT)</t>
        </is>
      </c>
      <c r="B5" s="55" t="n"/>
    </row>
    <row r="6">
      <c r="A6" s="54" t="inlineStr">
        <is>
          <t>LINK ARQUIVO BASE / PLANO</t>
        </is>
      </c>
      <c r="B6" s="55" t="n"/>
    </row>
    <row r="7">
      <c r="A7" s="54" t="inlineStr">
        <is>
          <t>DATA DA EXTRACAO DOS DADOS</t>
        </is>
      </c>
      <c r="B7" s="57" t="n"/>
    </row>
    <row r="8"/>
    <row r="9"/>
    <row r="10">
      <c r="B10" s="3" t="n"/>
    </row>
    <row r="11"/>
    <row r="12"/>
    <row r="13"/>
    <row r="14">
      <c r="B14" s="3" t="n"/>
    </row>
    <row r="15">
      <c r="B15" s="3" t="n"/>
    </row>
    <row r="16">
      <c r="B16" s="3" t="n"/>
    </row>
    <row r="17">
      <c r="B17" s="3" t="n"/>
    </row>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hyperlinks>
    <hyperlink xmlns:r="http://schemas.openxmlformats.org/officeDocument/2006/relationships" ref="B3" r:id="rId1"/>
  </hyperlink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D49"/>
  <sheetViews>
    <sheetView workbookViewId="0">
      <selection activeCell="D9" sqref="D9"/>
    </sheetView>
  </sheetViews>
  <sheetFormatPr baseColWidth="8" defaultRowHeight="15"/>
  <cols>
    <col width="8.42578125" bestFit="1" customWidth="1" style="36" min="1" max="1"/>
    <col width="16.7109375" customWidth="1" style="36" min="2" max="2"/>
    <col width="27.42578125" bestFit="1" customWidth="1" style="36" min="3" max="3"/>
    <col width="17" bestFit="1" customWidth="1" style="36" min="4" max="4"/>
    <col width="9.140625" customWidth="1" style="36" min="5" max="7"/>
    <col width="23.140625" bestFit="1" customWidth="1" style="36" min="8" max="8"/>
    <col width="9.140625" customWidth="1" style="36" min="9" max="16384"/>
  </cols>
  <sheetData>
    <row r="1">
      <c r="A1" s="58" t="n"/>
      <c r="B1" s="58" t="inlineStr">
        <is>
          <t>Empregador</t>
        </is>
      </c>
      <c r="C1" s="58" t="inlineStr">
        <is>
          <t>Envolvimento no Projeto</t>
        </is>
      </c>
    </row>
    <row r="2">
      <c r="A2" s="59">
        <f>COUNTIF(B8:B96,B2)</f>
        <v/>
      </c>
      <c r="B2" s="60" t="inlineStr">
        <is>
          <t>Spezi</t>
        </is>
      </c>
      <c r="C2" s="61">
        <f>A2/A5</f>
        <v/>
      </c>
    </row>
    <row r="3">
      <c r="A3" s="59">
        <f>COUNTIF(B8:B96,B3)</f>
        <v/>
      </c>
      <c r="B3" s="60" t="inlineStr">
        <is>
          <t>SPGG/STI</t>
        </is>
      </c>
      <c r="C3" s="61">
        <f>A3/A5</f>
        <v/>
      </c>
    </row>
    <row r="4">
      <c r="A4" s="59">
        <f>COUNTIF(B8:B96,B4)</f>
        <v/>
      </c>
      <c r="B4" s="60" t="inlineStr">
        <is>
          <t>G4F</t>
        </is>
      </c>
      <c r="C4" s="61">
        <f>A4/A5</f>
        <v/>
      </c>
    </row>
    <row r="5">
      <c r="A5" s="59">
        <f>COUNTA(A8:A96)</f>
        <v/>
      </c>
      <c r="B5" s="60" t="inlineStr">
        <is>
          <t>TODOS</t>
        </is>
      </c>
      <c r="C5" s="61">
        <f>SUM(C2:C4)</f>
        <v/>
      </c>
    </row>
    <row r="7">
      <c r="A7" s="58" t="n"/>
      <c r="B7" s="58" t="n"/>
      <c r="C7" s="58" t="n"/>
      <c r="D7" s="58" t="n"/>
    </row>
    <row r="8">
      <c r="A8" s="60" t="n"/>
      <c r="B8" s="60" t="n"/>
      <c r="C8" s="60" t="n"/>
      <c r="D8" s="62" t="n"/>
    </row>
    <row r="9">
      <c r="A9" s="60" t="n"/>
      <c r="B9" s="60" t="n"/>
      <c r="C9" s="60" t="n"/>
      <c r="D9" s="62" t="n"/>
    </row>
    <row r="10">
      <c r="A10" s="60" t="n"/>
      <c r="B10" s="60" t="n"/>
      <c r="C10" s="60" t="n"/>
      <c r="D10" s="62" t="n"/>
    </row>
    <row r="11">
      <c r="A11" s="60" t="n"/>
      <c r="B11" s="60" t="n"/>
      <c r="C11" s="60" t="n"/>
      <c r="D11" s="62" t="n"/>
    </row>
    <row r="12">
      <c r="A12" s="60" t="n"/>
      <c r="B12" s="60" t="n"/>
      <c r="C12" s="60" t="n"/>
      <c r="D12" s="62" t="n"/>
    </row>
    <row r="13">
      <c r="A13" s="60" t="n"/>
      <c r="B13" s="60" t="n"/>
      <c r="C13" s="60" t="n"/>
      <c r="D13" s="62" t="n"/>
    </row>
    <row r="14">
      <c r="A14" s="60" t="n"/>
      <c r="B14" s="60" t="n"/>
      <c r="C14" s="60" t="n"/>
      <c r="D14" s="62" t="n"/>
    </row>
    <row r="15">
      <c r="A15" s="60" t="n"/>
      <c r="B15" s="60" t="n"/>
      <c r="C15" s="60" t="n"/>
      <c r="D15" s="62" t="n"/>
    </row>
    <row r="16">
      <c r="A16" s="60" t="n"/>
      <c r="B16" s="60" t="n"/>
      <c r="C16" s="60" t="n"/>
      <c r="D16" s="62" t="n"/>
    </row>
    <row r="17">
      <c r="A17" s="60" t="n"/>
      <c r="B17" s="60" t="n"/>
      <c r="C17" s="60" t="n"/>
      <c r="D17" s="62" t="n"/>
    </row>
    <row r="18">
      <c r="B18" s="37" t="n"/>
      <c r="C18" s="35" t="n"/>
    </row>
    <row r="19">
      <c r="B19" s="37" t="n"/>
      <c r="C19" s="35" t="n"/>
    </row>
    <row r="20">
      <c r="B20" s="37" t="n"/>
      <c r="C20" s="35" t="n"/>
    </row>
    <row r="21"/>
    <row r="22"/>
    <row r="23">
      <c r="B23" s="37" t="n"/>
      <c r="C23" s="35" t="n"/>
    </row>
    <row r="24">
      <c r="B24" s="37" t="n"/>
      <c r="C24" s="35" t="n"/>
    </row>
    <row r="25">
      <c r="B25" s="37" t="n"/>
      <c r="C25" s="35" t="n"/>
    </row>
    <row r="26">
      <c r="B26" s="37" t="n"/>
      <c r="C26" s="35" t="n"/>
    </row>
    <row r="27">
      <c r="B27" s="37" t="n"/>
      <c r="C27" s="35" t="n"/>
    </row>
    <row r="28">
      <c r="B28" s="37" t="n"/>
      <c r="C28" s="35" t="n"/>
    </row>
    <row r="29">
      <c r="B29" s="37" t="n"/>
      <c r="C29" s="35" t="n"/>
    </row>
    <row r="30">
      <c r="B30" s="37" t="n"/>
      <c r="C30" s="35" t="n"/>
    </row>
    <row r="31">
      <c r="B31" s="37" t="n"/>
      <c r="C31" s="35" t="n"/>
    </row>
    <row r="32">
      <c r="B32" s="37" t="n"/>
      <c r="C32" s="35" t="n"/>
    </row>
    <row r="33">
      <c r="B33" s="37" t="n"/>
      <c r="C33" s="35" t="n"/>
    </row>
    <row r="34">
      <c r="B34" s="37" t="n"/>
      <c r="C34" s="35" t="n"/>
    </row>
    <row r="35">
      <c r="B35" s="37" t="n"/>
      <c r="C35" s="35" t="n"/>
    </row>
    <row r="36">
      <c r="B36" s="37" t="n"/>
      <c r="C36" s="35" t="n"/>
    </row>
    <row r="37">
      <c r="B37" s="37" t="n"/>
      <c r="C37" s="35" t="n"/>
    </row>
    <row r="38">
      <c r="B38" s="37" t="n"/>
      <c r="C38" s="35" t="n"/>
    </row>
    <row r="39">
      <c r="B39" s="37" t="n"/>
      <c r="C39" s="35" t="n"/>
    </row>
    <row r="40">
      <c r="B40" s="37" t="n"/>
      <c r="C40" s="35" t="n"/>
    </row>
    <row r="41">
      <c r="B41" s="37" t="n"/>
      <c r="C41" s="35" t="n"/>
    </row>
    <row r="42">
      <c r="B42" s="37" t="n"/>
      <c r="C42" s="35" t="n"/>
    </row>
    <row r="43"/>
    <row r="44"/>
    <row r="45">
      <c r="B45" s="37" t="n"/>
      <c r="C45" s="35" t="n"/>
    </row>
    <row r="46">
      <c r="B46" s="37" t="n"/>
      <c r="C46" s="35" t="n"/>
    </row>
    <row r="47">
      <c r="B47" s="37" t="n"/>
      <c r="C47" s="35" t="n"/>
    </row>
    <row r="48">
      <c r="B48" s="37" t="n"/>
      <c r="C48" s="35" t="n"/>
    </row>
    <row r="49">
      <c r="B49" s="37" t="n"/>
      <c r="C49" s="35" t="n"/>
    </row>
  </sheetData>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61"/>
  <sheetViews>
    <sheetView workbookViewId="0">
      <selection activeCell="A10" sqref="A10"/>
    </sheetView>
  </sheetViews>
  <sheetFormatPr baseColWidth="8" defaultRowHeight="15"/>
  <cols>
    <col width="27.42578125" bestFit="1" customWidth="1" style="36" min="1" max="1"/>
    <col width="10.7109375" bestFit="1" customWidth="1" style="36" min="2" max="2"/>
    <col width="13.140625" bestFit="1" customWidth="1" style="36" min="3" max="3"/>
    <col width="17.140625" customWidth="1" style="36" min="4" max="4"/>
    <col width="9.140625" customWidth="1" style="36" min="5" max="16384"/>
  </cols>
  <sheetData>
    <row r="1">
      <c r="A1" s="58" t="inlineStr">
        <is>
          <t>NOME</t>
        </is>
      </c>
      <c r="B1" s="58" t="inlineStr">
        <is>
          <t>FUNÇÃO</t>
        </is>
      </c>
      <c r="C1" s="58" t="inlineStr">
        <is>
          <t>SQUAD</t>
        </is>
      </c>
      <c r="D1" s="58" t="inlineStr">
        <is>
          <t>INTERVALO</t>
        </is>
      </c>
      <c r="E1" s="58" t="inlineStr">
        <is>
          <t>coluna</t>
        </is>
      </c>
    </row>
    <row r="2">
      <c r="A2" s="60" t="n"/>
      <c r="B2" s="60" t="n"/>
      <c r="C2" s="60" t="n"/>
      <c r="D2" s="60" t="n"/>
      <c r="E2" s="63" t="n"/>
    </row>
    <row r="3">
      <c r="A3" s="60" t="n"/>
      <c r="B3" s="60" t="n"/>
      <c r="C3" s="60" t="n"/>
      <c r="D3" s="60" t="n"/>
      <c r="E3" s="63" t="n"/>
    </row>
    <row r="4">
      <c r="A4" s="60" t="n"/>
      <c r="B4" s="60" t="n"/>
      <c r="C4" s="60" t="n"/>
      <c r="D4" s="60" t="n"/>
      <c r="E4" s="63" t="n"/>
    </row>
    <row r="5">
      <c r="A5" s="60" t="n"/>
      <c r="B5" s="60" t="n"/>
      <c r="C5" s="60" t="n"/>
      <c r="D5" s="60" t="n"/>
      <c r="E5" s="63" t="n"/>
    </row>
    <row r="6">
      <c r="A6" s="60" t="n"/>
      <c r="B6" s="60" t="n"/>
      <c r="C6" s="60" t="n"/>
      <c r="D6" s="60" t="n"/>
      <c r="E6" s="63" t="n"/>
    </row>
    <row r="7">
      <c r="A7" s="60" t="n"/>
      <c r="B7" s="60" t="n"/>
      <c r="C7" s="60" t="n"/>
      <c r="D7" s="60" t="n"/>
      <c r="E7" s="63" t="n"/>
    </row>
    <row r="8">
      <c r="A8" s="60" t="n"/>
      <c r="B8" s="60" t="n"/>
      <c r="C8" s="60" t="n"/>
      <c r="D8" s="60" t="n"/>
      <c r="E8" s="63" t="n"/>
    </row>
    <row r="9">
      <c r="A9" s="60" t="n"/>
      <c r="B9" s="60" t="n"/>
      <c r="C9" s="60" t="n"/>
      <c r="D9" s="60" t="n"/>
      <c r="E9" s="63" t="n"/>
    </row>
    <row r="10">
      <c r="A10" s="60" t="n"/>
      <c r="B10" s="60" t="n"/>
      <c r="C10" s="60" t="n"/>
      <c r="D10" s="60" t="n"/>
      <c r="E10" s="63" t="n"/>
    </row>
    <row r="11">
      <c r="A11" s="60" t="n"/>
      <c r="B11" s="60" t="n"/>
      <c r="C11" s="60" t="n"/>
      <c r="D11" s="60" t="n"/>
      <c r="E11" s="63" t="n"/>
    </row>
    <row r="12">
      <c r="A12" s="60" t="n"/>
      <c r="B12" s="60" t="n"/>
      <c r="C12" s="60" t="n"/>
      <c r="D12" s="60" t="n"/>
      <c r="E12" s="63" t="n"/>
    </row>
    <row r="13">
      <c r="A13" s="60" t="n"/>
      <c r="B13" s="60" t="n"/>
      <c r="C13" s="60" t="n"/>
      <c r="D13" s="60" t="n"/>
      <c r="E13" s="63" t="n"/>
    </row>
    <row r="14">
      <c r="A14" s="60" t="n"/>
      <c r="B14" s="60" t="n"/>
      <c r="C14" s="60" t="n"/>
      <c r="D14" s="60" t="n"/>
      <c r="E14" s="63" t="n"/>
    </row>
    <row r="15">
      <c r="A15" s="60" t="n"/>
      <c r="B15" s="60" t="n"/>
      <c r="C15" s="60" t="n"/>
      <c r="D15" s="60" t="n"/>
      <c r="E15" s="63" t="n"/>
    </row>
    <row r="16">
      <c r="A16" s="60" t="n"/>
      <c r="B16" s="60" t="n"/>
      <c r="C16" s="60" t="n"/>
      <c r="D16" s="60" t="n"/>
      <c r="E16" s="63" t="n"/>
    </row>
    <row r="17">
      <c r="A17" s="60" t="n"/>
      <c r="B17" s="60" t="n"/>
      <c r="C17" s="60" t="n"/>
      <c r="D17" s="60" t="n"/>
      <c r="E17" s="63" t="n"/>
    </row>
    <row r="18">
      <c r="A18" s="60" t="n"/>
      <c r="B18" s="60" t="n"/>
      <c r="C18" s="60" t="n"/>
      <c r="D18" s="60" t="n"/>
      <c r="E18" s="63" t="n"/>
    </row>
    <row r="19">
      <c r="A19" s="60" t="n"/>
      <c r="B19" s="60" t="n"/>
      <c r="C19" s="60" t="n"/>
      <c r="D19" s="60" t="n"/>
      <c r="E19" s="63" t="n"/>
    </row>
    <row r="20">
      <c r="A20" s="60" t="n"/>
      <c r="B20" s="60" t="n"/>
      <c r="C20" s="60" t="n"/>
      <c r="D20" s="60" t="n"/>
      <c r="E20" s="63" t="n"/>
    </row>
    <row r="21">
      <c r="A21" s="60" t="n"/>
      <c r="B21" s="60" t="n"/>
      <c r="C21" s="60" t="n"/>
      <c r="D21" s="60" t="n"/>
      <c r="E21" s="63" t="n"/>
    </row>
    <row r="22">
      <c r="A22" s="60" t="n"/>
      <c r="B22" s="60" t="n"/>
      <c r="C22" s="60" t="n"/>
      <c r="D22" s="60" t="n"/>
      <c r="E22" s="63" t="n"/>
    </row>
    <row r="23">
      <c r="A23" s="60" t="n"/>
      <c r="B23" s="60" t="n"/>
      <c r="C23" s="60" t="n"/>
      <c r="D23" s="60" t="n"/>
      <c r="E23" s="63" t="n"/>
    </row>
    <row r="24">
      <c r="A24" s="60" t="n"/>
      <c r="B24" s="60" t="n"/>
      <c r="C24" s="60" t="n"/>
      <c r="D24" s="60" t="n"/>
      <c r="E24" s="63" t="n"/>
    </row>
    <row r="25">
      <c r="A25" s="60" t="n"/>
      <c r="B25" s="60" t="n"/>
      <c r="C25" s="60" t="n"/>
      <c r="D25" s="60" t="n"/>
      <c r="E25" s="63" t="n"/>
    </row>
    <row r="26">
      <c r="A26" s="60" t="n"/>
      <c r="B26" s="60" t="n"/>
      <c r="C26" s="60" t="n"/>
      <c r="D26" s="60" t="n"/>
      <c r="E26" s="63" t="n"/>
    </row>
    <row r="27">
      <c r="A27" s="60" t="n"/>
      <c r="B27" s="60" t="n"/>
      <c r="C27" s="60" t="n"/>
      <c r="D27" s="60" t="n"/>
      <c r="E27" s="63" t="n"/>
    </row>
    <row r="28">
      <c r="A28" s="60" t="n"/>
      <c r="B28" s="60" t="n"/>
      <c r="C28" s="60" t="n"/>
      <c r="D28" s="60" t="n"/>
      <c r="E28" s="63" t="n"/>
    </row>
    <row r="29">
      <c r="A29" s="60" t="n"/>
      <c r="B29" s="60" t="n"/>
      <c r="C29" s="60" t="n"/>
      <c r="D29" s="60" t="n"/>
      <c r="E29" s="63" t="n"/>
    </row>
    <row r="30">
      <c r="A30" s="35" t="n"/>
      <c r="B30" s="35" t="n"/>
      <c r="C30" s="35" t="n"/>
      <c r="D30" s="35" t="n"/>
      <c r="E30" s="35" t="n"/>
    </row>
    <row r="31">
      <c r="A31" s="35" t="n"/>
      <c r="B31" s="35" t="n"/>
      <c r="C31" s="35" t="n"/>
      <c r="D31" s="35" t="n"/>
      <c r="E31" s="35" t="n"/>
    </row>
    <row r="32">
      <c r="A32" s="35" t="n"/>
      <c r="B32" s="35" t="n"/>
      <c r="C32" s="35" t="n"/>
      <c r="D32" s="35" t="n"/>
      <c r="E32" s="35" t="n"/>
    </row>
    <row r="33"/>
    <row r="34"/>
    <row r="35">
      <c r="A35" s="35" t="n"/>
      <c r="B35" s="35" t="n"/>
      <c r="C35" s="35" t="n"/>
      <c r="D35" s="35" t="n"/>
      <c r="E35" s="35" t="n"/>
    </row>
    <row r="36">
      <c r="A36" s="35" t="n"/>
      <c r="B36" s="35" t="n"/>
      <c r="C36" s="35" t="n"/>
      <c r="D36" s="35" t="n"/>
      <c r="E36" s="35" t="n"/>
    </row>
    <row r="37">
      <c r="A37" s="35" t="n"/>
      <c r="B37" s="35" t="n"/>
      <c r="C37" s="35" t="n"/>
      <c r="D37" s="35" t="n"/>
      <c r="E37" s="35" t="n"/>
    </row>
    <row r="38">
      <c r="A38" s="35" t="n"/>
      <c r="B38" s="35" t="n"/>
      <c r="C38" s="35" t="n"/>
      <c r="D38" s="35" t="n"/>
      <c r="E38" s="35" t="n"/>
    </row>
    <row r="39">
      <c r="A39" s="35" t="n"/>
      <c r="B39" s="35" t="n"/>
      <c r="C39" s="35" t="n"/>
      <c r="D39" s="35" t="n"/>
      <c r="E39" s="35" t="n"/>
    </row>
    <row r="40">
      <c r="A40" s="35" t="n"/>
      <c r="B40" s="35" t="n"/>
      <c r="C40" s="35" t="n"/>
      <c r="D40" s="35" t="n"/>
      <c r="E40" s="35" t="n"/>
    </row>
    <row r="41">
      <c r="A41" s="35" t="n"/>
      <c r="B41" s="35" t="n"/>
      <c r="C41" s="35" t="n"/>
      <c r="D41" s="35" t="n"/>
      <c r="E41" s="35" t="n"/>
    </row>
    <row r="42">
      <c r="A42" s="35" t="n"/>
      <c r="B42" s="35" t="n"/>
      <c r="C42" s="35" t="n"/>
      <c r="D42" s="35" t="n"/>
      <c r="E42" s="35" t="n"/>
    </row>
    <row r="43">
      <c r="A43" s="35" t="n"/>
      <c r="B43" s="35" t="n"/>
      <c r="C43" s="35" t="n"/>
      <c r="D43" s="35" t="n"/>
      <c r="E43" s="35" t="n"/>
    </row>
    <row r="44">
      <c r="A44" s="35" t="n"/>
      <c r="B44" s="35" t="n"/>
      <c r="C44" s="35" t="n"/>
      <c r="D44" s="35" t="n"/>
      <c r="E44" s="35" t="n"/>
    </row>
    <row r="45">
      <c r="A45" s="35" t="n"/>
      <c r="B45" s="35" t="n"/>
      <c r="C45" s="35" t="n"/>
      <c r="D45" s="35" t="n"/>
      <c r="E45" s="35" t="n"/>
    </row>
    <row r="46">
      <c r="A46" s="35" t="n"/>
      <c r="B46" s="35" t="n"/>
      <c r="C46" s="35" t="n"/>
      <c r="D46" s="35" t="n"/>
      <c r="E46" s="35" t="n"/>
    </row>
    <row r="47">
      <c r="A47" s="35" t="n"/>
      <c r="B47" s="35" t="n"/>
      <c r="C47" s="35" t="n"/>
      <c r="D47" s="35" t="n"/>
      <c r="E47" s="35" t="n"/>
    </row>
    <row r="48">
      <c r="A48" s="35" t="n"/>
      <c r="B48" s="35" t="n"/>
      <c r="C48" s="35" t="n"/>
      <c r="D48" s="35" t="n"/>
      <c r="E48" s="35" t="n"/>
    </row>
    <row r="49">
      <c r="A49" s="35" t="n"/>
      <c r="B49" s="35" t="n"/>
      <c r="C49" s="35" t="n"/>
      <c r="D49" s="35" t="n"/>
      <c r="E49" s="35" t="n"/>
    </row>
    <row r="50">
      <c r="A50" s="35" t="n"/>
      <c r="B50" s="35" t="n"/>
      <c r="C50" s="35" t="n"/>
      <c r="D50" s="35" t="n"/>
      <c r="E50" s="35" t="n"/>
    </row>
    <row r="51">
      <c r="A51" s="35" t="n"/>
      <c r="B51" s="35" t="n"/>
      <c r="C51" s="35" t="n"/>
      <c r="D51" s="35" t="n"/>
      <c r="E51" s="35" t="n"/>
    </row>
    <row r="52">
      <c r="A52" s="35" t="n"/>
      <c r="B52" s="35" t="n"/>
      <c r="C52" s="35" t="n"/>
      <c r="D52" s="35" t="n"/>
      <c r="E52" s="35" t="n"/>
    </row>
    <row r="53">
      <c r="A53" s="35" t="n"/>
      <c r="B53" s="35" t="n"/>
      <c r="C53" s="35" t="n"/>
      <c r="D53" s="35" t="n"/>
      <c r="E53" s="35" t="n"/>
    </row>
    <row r="54">
      <c r="A54" s="35" t="n"/>
      <c r="B54" s="35" t="n"/>
      <c r="C54" s="35" t="n"/>
      <c r="D54" s="35" t="n"/>
      <c r="E54" s="35" t="n"/>
    </row>
    <row r="55"/>
    <row r="56"/>
    <row r="57">
      <c r="A57" s="35" t="n"/>
      <c r="B57" s="35" t="n"/>
      <c r="C57" s="35" t="n"/>
      <c r="D57" s="35" t="n"/>
      <c r="E57" s="35" t="n"/>
    </row>
    <row r="58">
      <c r="A58" s="35" t="n"/>
      <c r="B58" s="35" t="n"/>
      <c r="C58" s="35" t="n"/>
      <c r="D58" s="35" t="n"/>
      <c r="E58" s="35" t="n"/>
    </row>
    <row r="59">
      <c r="A59" s="35" t="n"/>
      <c r="B59" s="35" t="n"/>
      <c r="C59" s="35" t="n"/>
      <c r="D59" s="35" t="n"/>
      <c r="E59" s="35" t="n"/>
    </row>
    <row r="60">
      <c r="A60" s="35" t="n"/>
      <c r="B60" s="35" t="n"/>
      <c r="C60" s="35" t="n"/>
      <c r="D60" s="35" t="n"/>
      <c r="E60" s="35" t="n"/>
    </row>
    <row r="61">
      <c r="A61" s="35" t="n"/>
      <c r="B61" s="35" t="n"/>
      <c r="C61" s="35" t="n"/>
      <c r="D61" s="35" t="n"/>
      <c r="E61" s="35" t="n"/>
    </row>
  </sheetData>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B19"/>
  <sheetViews>
    <sheetView topLeftCell="A2" workbookViewId="0">
      <selection activeCell="A16" sqref="A16:XFD16"/>
    </sheetView>
  </sheetViews>
  <sheetFormatPr baseColWidth="8" defaultColWidth="8.85546875" defaultRowHeight="15"/>
  <cols>
    <col width="90.28515625" customWidth="1" min="1" max="1"/>
    <col width="9.140625" customWidth="1" min="2" max="2"/>
  </cols>
  <sheetData>
    <row r="1">
      <c r="A1" s="65" t="inlineStr">
        <is>
          <t>Marco</t>
        </is>
      </c>
      <c r="B1" s="54" t="inlineStr">
        <is>
          <t>Posição</t>
        </is>
      </c>
    </row>
    <row r="2" ht="37.5" customHeight="1">
      <c r="A2" s="66" t="n"/>
      <c r="B2" s="64" t="n"/>
    </row>
    <row r="3" ht="24.75" customHeight="1">
      <c r="A3" s="66" t="n"/>
      <c r="B3" s="76" t="n"/>
    </row>
    <row r="4" ht="24.75" customHeight="1">
      <c r="A4" s="75" t="n"/>
      <c r="B4" s="64" t="n"/>
    </row>
    <row r="5" ht="24.75" customHeight="1">
      <c r="A5" s="75" t="n"/>
      <c r="B5" s="64" t="n"/>
    </row>
    <row r="6" ht="24.75" customHeight="1">
      <c r="A6" s="75" t="n"/>
      <c r="B6" s="64" t="n"/>
    </row>
    <row r="7" ht="24.75" customHeight="1">
      <c r="A7" s="75" t="n"/>
      <c r="B7" s="64" t="n"/>
    </row>
    <row r="8" ht="24.75" customHeight="1">
      <c r="A8" s="75" t="n"/>
      <c r="B8" s="64" t="n"/>
    </row>
    <row r="9" ht="24.75" customHeight="1">
      <c r="A9" s="75" t="n"/>
      <c r="B9" s="64" t="n"/>
    </row>
    <row r="10" ht="24.75" customHeight="1">
      <c r="A10" s="75" t="n"/>
      <c r="B10" s="64" t="n"/>
    </row>
    <row r="11" ht="24.75" customHeight="1">
      <c r="A11" s="75" t="n"/>
      <c r="B11" s="64" t="n"/>
    </row>
    <row r="12" ht="24.75" customHeight="1">
      <c r="A12" s="75" t="n"/>
      <c r="B12" s="64" t="n"/>
    </row>
    <row r="13" ht="24.75" customHeight="1">
      <c r="A13" s="75" t="n"/>
      <c r="B13" s="64" t="n"/>
    </row>
    <row r="14" ht="24.75" customHeight="1">
      <c r="A14" s="75" t="n"/>
      <c r="B14" s="64" t="n"/>
    </row>
    <row r="15" ht="50.25" customHeight="1">
      <c r="A15" s="75" t="n"/>
      <c r="B15" s="64" t="n"/>
    </row>
    <row r="16">
      <c r="A16" s="75" t="n"/>
      <c r="B16" s="64" t="n"/>
    </row>
    <row r="17" ht="50.25" customHeight="1">
      <c r="A17" s="75" t="n"/>
      <c r="B17" s="64" t="n"/>
    </row>
    <row r="18">
      <c r="A18" s="75" t="n"/>
      <c r="B18" s="64" t="n"/>
    </row>
    <row r="19" ht="24.75" customHeight="1">
      <c r="A19" s="75" t="n"/>
      <c r="B19" s="64" t="n"/>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6"/>
  <sheetViews>
    <sheetView workbookViewId="0">
      <selection activeCell="A18" sqref="A18"/>
    </sheetView>
  </sheetViews>
  <sheetFormatPr baseColWidth="8" defaultRowHeight="15"/>
  <cols>
    <col width="28.5703125" customWidth="1" min="1" max="1"/>
    <col width="22.5703125" bestFit="1" customWidth="1" min="3" max="3"/>
  </cols>
  <sheetData>
    <row r="1">
      <c r="A1" s="77" t="n"/>
      <c r="B1" s="78" t="n"/>
      <c r="C1" s="43" t="n"/>
      <c r="D1" s="43" t="n"/>
      <c r="E1" s="43" t="n"/>
      <c r="F1" s="43" t="n"/>
    </row>
    <row r="2">
      <c r="A2" s="79" t="n"/>
      <c r="B2" s="80" t="n"/>
      <c r="C2" s="43" t="n"/>
      <c r="D2" s="43" t="n"/>
      <c r="E2" s="43" t="n"/>
      <c r="F2" s="43" t="n"/>
    </row>
    <row r="3">
      <c r="A3" s="79" t="n"/>
      <c r="B3" s="80" t="n"/>
      <c r="C3" s="43" t="n"/>
      <c r="D3" s="43" t="n"/>
      <c r="E3" s="43" t="n"/>
      <c r="F3" s="43" t="n"/>
    </row>
    <row r="4">
      <c r="A4" s="79" t="n"/>
      <c r="B4" s="80" t="n"/>
      <c r="C4" s="43" t="n"/>
      <c r="D4" s="43" t="n"/>
      <c r="E4" s="43" t="n"/>
      <c r="F4" s="43" t="n"/>
    </row>
    <row r="5">
      <c r="A5" s="79" t="n"/>
      <c r="B5" s="80" t="n"/>
      <c r="C5" s="43" t="n"/>
      <c r="D5" s="43" t="n"/>
      <c r="E5" s="43" t="n"/>
      <c r="F5" s="43" t="n"/>
    </row>
    <row r="6">
      <c r="A6" s="79" t="n"/>
      <c r="B6" s="80" t="n"/>
      <c r="C6" s="43" t="n"/>
      <c r="D6" s="43" t="n"/>
      <c r="E6" s="43" t="n"/>
      <c r="F6" s="43" t="n"/>
    </row>
    <row r="7">
      <c r="A7" s="79" t="n"/>
      <c r="B7" s="80" t="n"/>
      <c r="C7" s="43" t="n"/>
      <c r="D7" s="43" t="n"/>
      <c r="E7" s="43" t="n"/>
      <c r="F7" s="43" t="n"/>
    </row>
    <row r="8">
      <c r="A8" s="79" t="n"/>
      <c r="B8" s="80" t="n"/>
      <c r="C8" s="43" t="n"/>
      <c r="D8" s="43" t="n"/>
      <c r="E8" s="43" t="n"/>
      <c r="F8" s="43" t="n"/>
    </row>
    <row r="9">
      <c r="A9" s="79" t="n"/>
      <c r="B9" s="80" t="n"/>
      <c r="C9" s="43" t="n"/>
      <c r="D9" s="43" t="n"/>
      <c r="E9" s="43" t="n"/>
      <c r="F9" s="43" t="n"/>
    </row>
    <row r="10">
      <c r="A10" s="79" t="n"/>
      <c r="B10" s="80" t="n"/>
      <c r="C10" s="43" t="n"/>
      <c r="D10" s="43" t="n"/>
      <c r="E10" s="43" t="n"/>
      <c r="F10" s="43" t="n"/>
    </row>
    <row r="11">
      <c r="A11" s="79" t="n"/>
      <c r="B11" s="80" t="n"/>
      <c r="C11" s="43" t="n"/>
      <c r="D11" s="43" t="n"/>
      <c r="E11" s="43" t="n"/>
      <c r="F11" s="43" t="n"/>
    </row>
    <row r="12">
      <c r="A12" s="79" t="n"/>
      <c r="B12" s="80" t="n"/>
      <c r="C12" s="43" t="n"/>
      <c r="D12" s="43" t="n"/>
      <c r="E12" s="43" t="n"/>
      <c r="F12" s="43" t="n"/>
    </row>
    <row r="13">
      <c r="A13" s="79" t="n"/>
      <c r="B13" s="80" t="n"/>
      <c r="C13" s="43" t="n"/>
      <c r="D13" s="43" t="n"/>
      <c r="E13" s="43" t="n"/>
      <c r="F13" s="43" t="n"/>
    </row>
    <row r="14">
      <c r="A14" s="79" t="n"/>
      <c r="B14" s="80" t="n"/>
      <c r="D14" s="83" t="n"/>
      <c r="E14" s="43" t="n"/>
      <c r="F14" s="43" t="n"/>
    </row>
    <row r="15">
      <c r="A15" s="79" t="n"/>
      <c r="B15" s="92" t="n"/>
      <c r="E15" s="43" t="n"/>
      <c r="F15" s="43" t="n"/>
    </row>
    <row r="16">
      <c r="A16" s="81" t="n"/>
      <c r="B16" s="82"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9"/>
  <sheetViews>
    <sheetView workbookViewId="0">
      <selection activeCell="D17" sqref="D17"/>
    </sheetView>
  </sheetViews>
  <sheetFormatPr baseColWidth="8" defaultRowHeight="15"/>
  <cols>
    <col width="32.85546875" bestFit="1" customWidth="1" min="1" max="1"/>
    <col width="29" bestFit="1" customWidth="1" min="3" max="3"/>
    <col width="23" bestFit="1" customWidth="1" min="4" max="4"/>
    <col width="21" customWidth="1" min="5" max="5"/>
  </cols>
  <sheetData>
    <row r="1">
      <c r="G1" s="43" t="n"/>
      <c r="H1" s="43" t="n"/>
      <c r="I1" s="43" t="n"/>
      <c r="J1" s="43" t="n"/>
      <c r="K1" s="43" t="n"/>
    </row>
    <row r="2">
      <c r="G2" s="43" t="n"/>
      <c r="H2" s="43" t="n"/>
      <c r="I2" s="43" t="n"/>
      <c r="J2" s="43" t="n"/>
      <c r="K2" s="43" t="n"/>
    </row>
    <row r="3">
      <c r="G3" s="43" t="n"/>
      <c r="H3" s="43" t="n"/>
      <c r="I3" s="43" t="n"/>
      <c r="J3" s="43" t="n"/>
      <c r="K3" s="43" t="n"/>
    </row>
    <row r="4">
      <c r="G4" s="43" t="n"/>
      <c r="H4" s="43" t="n"/>
      <c r="I4" s="43" t="n"/>
      <c r="J4" s="43" t="n"/>
      <c r="K4" s="43" t="n"/>
    </row>
    <row r="5">
      <c r="G5" s="43" t="n"/>
      <c r="H5" s="43" t="n"/>
      <c r="I5" s="43" t="n"/>
      <c r="J5" s="43" t="n"/>
      <c r="K5" s="43" t="n"/>
    </row>
    <row r="6">
      <c r="G6" s="43" t="n"/>
      <c r="H6" s="43" t="n"/>
      <c r="I6" s="43" t="n"/>
      <c r="J6" s="43" t="n"/>
      <c r="K6" s="43" t="n"/>
    </row>
    <row r="7">
      <c r="G7" s="43" t="n"/>
      <c r="H7" s="43" t="n"/>
      <c r="I7" s="43" t="n"/>
      <c r="J7" s="43" t="n"/>
      <c r="K7" s="43" t="n"/>
    </row>
    <row r="8">
      <c r="G8" s="43" t="n"/>
      <c r="H8" s="43" t="n"/>
      <c r="I8" s="43" t="n"/>
      <c r="J8" s="43" t="n"/>
      <c r="K8" s="43" t="n"/>
    </row>
    <row r="9">
      <c r="G9" s="43" t="n"/>
      <c r="H9" s="43" t="n"/>
      <c r="I9" s="43" t="n"/>
      <c r="J9" s="43" t="n"/>
      <c r="K9" s="43"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E25"/>
  <sheetViews>
    <sheetView workbookViewId="0">
      <selection activeCell="O37" sqref="O37"/>
    </sheetView>
  </sheetViews>
  <sheetFormatPr baseColWidth="8" defaultRowHeight="15"/>
  <cols>
    <col width="39.140625" bestFit="1" customWidth="1" min="1" max="1"/>
    <col width="14.28515625" bestFit="1" customWidth="1" min="2" max="2"/>
    <col width="19.140625" bestFit="1" customWidth="1" min="3" max="3"/>
    <col width="18" bestFit="1" customWidth="1" min="4" max="4"/>
    <col width="18.5703125" bestFit="1" customWidth="1" min="5" max="5"/>
  </cols>
  <sheetData>
    <row r="1"/>
    <row r="2"/>
    <row r="3"/>
    <row r="4"/>
    <row r="5"/>
    <row r="6"/>
    <row r="7"/>
    <row r="8"/>
    <row r="9"/>
    <row r="10"/>
    <row r="11"/>
    <row r="12"/>
    <row r="13"/>
    <row r="14"/>
    <row r="15"/>
    <row r="16"/>
    <row r="17"/>
    <row r="18"/>
    <row r="19"/>
    <row r="20"/>
    <row r="21"/>
    <row r="22"/>
    <row r="23"/>
    <row r="24"/>
    <row r="25"/>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32"/>
  <sheetViews>
    <sheetView workbookViewId="0">
      <selection activeCell="F15" sqref="F15"/>
    </sheetView>
  </sheetViews>
  <sheetFormatPr baseColWidth="8" defaultRowHeight="15"/>
  <cols>
    <col width="18.85546875" customWidth="1" min="1" max="1"/>
    <col width="12.85546875" bestFit="1" customWidth="1" min="2" max="2"/>
    <col width="9.28515625" customWidth="1" style="5" min="3" max="3"/>
    <col width="16" bestFit="1" customWidth="1" min="4" max="4"/>
    <col width="12.140625" customWidth="1" min="6" max="6"/>
  </cols>
  <sheetData>
    <row r="1">
      <c r="A1" s="87" t="n"/>
      <c r="B1" s="87" t="n"/>
      <c r="C1" s="87" t="n"/>
      <c r="D1" s="87" t="n"/>
    </row>
    <row r="2">
      <c r="A2" s="90" t="n"/>
      <c r="B2" s="88" t="n"/>
      <c r="C2" s="88" t="n"/>
      <c r="D2" s="88" t="n"/>
    </row>
    <row r="3">
      <c r="A3" s="90" t="n"/>
      <c r="B3" s="88" t="n"/>
      <c r="C3" s="88" t="n"/>
      <c r="D3" s="88" t="n"/>
    </row>
    <row r="4">
      <c r="A4" s="90" t="n"/>
      <c r="B4" s="88" t="n"/>
      <c r="C4" s="88" t="n"/>
      <c r="D4" s="88" t="n"/>
    </row>
    <row r="5">
      <c r="A5" s="90" t="n"/>
      <c r="B5" s="88" t="n"/>
      <c r="C5" s="88" t="n"/>
      <c r="D5" s="88" t="n"/>
    </row>
    <row r="6">
      <c r="A6" s="90" t="n"/>
      <c r="B6" s="88" t="n"/>
      <c r="C6" s="88" t="n"/>
      <c r="D6" s="88" t="n"/>
    </row>
    <row r="7">
      <c r="A7" s="85" t="n"/>
      <c r="B7" s="42" t="n"/>
      <c r="C7" s="42" t="n"/>
      <c r="D7" s="80" t="n"/>
    </row>
    <row r="8">
      <c r="A8" s="85" t="n"/>
      <c r="B8" s="42" t="n"/>
      <c r="C8" s="42" t="n"/>
      <c r="D8" s="80" t="n"/>
    </row>
    <row r="9">
      <c r="A9" s="85" t="n"/>
      <c r="B9" s="42" t="n"/>
      <c r="C9" s="42" t="n"/>
      <c r="D9" s="80" t="n"/>
    </row>
    <row r="10">
      <c r="A10" s="85" t="n"/>
      <c r="B10" s="42" t="n"/>
      <c r="C10" s="42" t="n"/>
      <c r="D10" s="80" t="n"/>
    </row>
    <row r="11">
      <c r="A11" s="85" t="n"/>
      <c r="B11" s="42" t="n"/>
      <c r="C11" s="42" t="n"/>
      <c r="D11" s="80" t="n"/>
    </row>
    <row r="12">
      <c r="A12" s="85" t="n"/>
      <c r="B12" s="42" t="n"/>
      <c r="C12" s="42" t="n"/>
      <c r="D12" s="80" t="n"/>
    </row>
    <row r="13">
      <c r="A13" s="85" t="n"/>
      <c r="B13" s="42" t="n"/>
      <c r="C13" s="42" t="n"/>
      <c r="D13" s="80" t="n"/>
    </row>
    <row r="14">
      <c r="A14" s="85" t="n"/>
      <c r="B14" s="42" t="n"/>
      <c r="C14" s="42" t="n"/>
      <c r="D14" s="80" t="n"/>
    </row>
    <row r="15">
      <c r="A15" s="85" t="n"/>
      <c r="B15" s="42" t="n"/>
      <c r="C15" s="42" t="n"/>
      <c r="D15" s="80" t="n"/>
    </row>
    <row r="16">
      <c r="A16" s="85" t="n"/>
      <c r="B16" s="42" t="n"/>
      <c r="C16" s="42" t="n"/>
      <c r="D16" s="80" t="n"/>
    </row>
    <row r="17">
      <c r="A17" s="85" t="n"/>
      <c r="B17" s="42" t="n"/>
      <c r="C17" s="42" t="n"/>
      <c r="D17" s="80" t="n"/>
    </row>
    <row r="18">
      <c r="A18" s="85" t="n"/>
      <c r="B18" s="42" t="n"/>
      <c r="C18" s="42" t="n"/>
      <c r="D18" s="80" t="n"/>
    </row>
    <row r="19">
      <c r="A19" s="85" t="n"/>
      <c r="B19" s="42" t="n"/>
      <c r="C19" s="42" t="n"/>
      <c r="D19" s="80" t="n"/>
    </row>
    <row r="20">
      <c r="A20" s="85" t="n"/>
      <c r="B20" s="42" t="n"/>
      <c r="C20" s="42" t="n"/>
      <c r="D20" s="80" t="n"/>
    </row>
    <row r="21">
      <c r="A21" s="85" t="n"/>
      <c r="B21" s="42" t="n"/>
      <c r="C21" s="42" t="n"/>
      <c r="D21" s="80" t="n"/>
    </row>
    <row r="22">
      <c r="A22" s="85" t="n"/>
      <c r="B22" s="42" t="n"/>
      <c r="C22" s="42" t="n"/>
      <c r="D22" s="80" t="n"/>
    </row>
    <row r="23">
      <c r="A23" s="85" t="n"/>
      <c r="B23" s="42" t="n"/>
      <c r="C23" s="42" t="n"/>
      <c r="D23" s="80" t="n"/>
    </row>
    <row r="24">
      <c r="A24" s="85" t="n"/>
      <c r="B24" s="42" t="n"/>
      <c r="C24" s="42" t="n"/>
      <c r="D24" s="80" t="n"/>
    </row>
    <row r="25">
      <c r="A25" s="85" t="n"/>
      <c r="B25" s="42" t="n"/>
      <c r="C25" s="42" t="n"/>
      <c r="D25" s="80" t="n"/>
    </row>
    <row r="26">
      <c r="A26" s="85" t="n"/>
      <c r="B26" s="42" t="n"/>
      <c r="C26" s="42" t="n"/>
      <c r="D26" s="80" t="n"/>
    </row>
    <row r="27">
      <c r="A27" s="85" t="n"/>
      <c r="B27" s="42" t="n"/>
      <c r="C27" s="42" t="n"/>
      <c r="D27" s="80" t="n"/>
    </row>
    <row r="28">
      <c r="A28" s="85" t="n"/>
      <c r="B28" s="42" t="n"/>
      <c r="C28" s="42" t="n"/>
      <c r="D28" s="80" t="n"/>
    </row>
    <row r="29">
      <c r="A29" s="85" t="n"/>
      <c r="B29" s="42" t="n"/>
      <c r="C29" s="42" t="n"/>
      <c r="D29" s="80" t="n"/>
    </row>
    <row r="30">
      <c r="A30" s="85" t="n"/>
      <c r="B30" s="42" t="n"/>
      <c r="C30" s="42" t="n"/>
      <c r="D30" s="80" t="n"/>
    </row>
    <row r="31">
      <c r="A31" s="85" t="n"/>
      <c r="B31" s="42" t="n"/>
      <c r="C31" s="42" t="n"/>
      <c r="D31" s="80" t="n"/>
    </row>
    <row r="32">
      <c r="A32" s="86" t="n"/>
      <c r="B32" s="84" t="n"/>
      <c r="C32" s="84" t="n"/>
      <c r="D32" s="82" t="n"/>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D32"/>
  <sheetViews>
    <sheetView workbookViewId="0">
      <selection activeCell="I16" sqref="I16"/>
    </sheetView>
  </sheetViews>
  <sheetFormatPr baseColWidth="8" defaultRowHeight="15"/>
  <cols>
    <col width="18.85546875" customWidth="1" min="1" max="1"/>
    <col width="12.85546875" bestFit="1" customWidth="1" min="2" max="2"/>
    <col width="9.28515625" customWidth="1" style="5" min="3" max="3"/>
    <col width="16" bestFit="1" customWidth="1" min="4" max="4"/>
    <col width="12.140625" customWidth="1" min="6" max="6"/>
  </cols>
  <sheetData>
    <row r="1">
      <c r="A1" s="77" t="n"/>
      <c r="B1" s="41" t="n"/>
      <c r="C1" s="41" t="n"/>
      <c r="D1" s="78" t="n"/>
    </row>
    <row r="2">
      <c r="A2" s="85" t="n"/>
      <c r="B2" s="42" t="n"/>
      <c r="C2" s="42" t="n"/>
      <c r="D2" s="80" t="n"/>
    </row>
    <row r="3">
      <c r="A3" s="85" t="n"/>
      <c r="B3" s="42" t="n"/>
      <c r="C3" s="42" t="n"/>
      <c r="D3" s="80" t="n"/>
    </row>
    <row r="4">
      <c r="A4" s="85" t="n"/>
      <c r="B4" s="42" t="n"/>
      <c r="C4" s="42" t="n"/>
      <c r="D4" s="80" t="n"/>
    </row>
    <row r="5">
      <c r="A5" s="85" t="n"/>
      <c r="B5" s="42" t="n"/>
      <c r="C5" s="42" t="n"/>
      <c r="D5" s="80" t="n"/>
    </row>
    <row r="6">
      <c r="A6" s="85" t="n"/>
      <c r="B6" s="42" t="n"/>
      <c r="C6" s="42" t="n"/>
      <c r="D6" s="80" t="n"/>
    </row>
    <row r="7">
      <c r="A7" s="85" t="n"/>
      <c r="B7" s="42" t="n"/>
      <c r="C7" s="42" t="n"/>
      <c r="D7" s="80" t="n"/>
    </row>
    <row r="8">
      <c r="A8" s="85" t="n"/>
      <c r="B8" s="42" t="n"/>
      <c r="C8" s="42" t="n"/>
      <c r="D8" s="80" t="n"/>
    </row>
    <row r="9">
      <c r="A9" s="85" t="n"/>
      <c r="B9" s="42" t="n"/>
      <c r="C9" s="42" t="n"/>
      <c r="D9" s="80" t="n"/>
    </row>
    <row r="10">
      <c r="A10" s="85" t="n"/>
      <c r="B10" s="42" t="n"/>
      <c r="C10" s="42" t="n"/>
      <c r="D10" s="80" t="n"/>
    </row>
    <row r="11">
      <c r="A11" s="85" t="n"/>
      <c r="B11" s="42" t="n"/>
      <c r="C11" s="42" t="n"/>
      <c r="D11" s="80" t="n"/>
    </row>
    <row r="12">
      <c r="A12" s="85" t="n"/>
      <c r="B12" s="42" t="n"/>
      <c r="C12" s="42" t="n"/>
      <c r="D12" s="80" t="n"/>
    </row>
    <row r="13">
      <c r="A13" s="85" t="n"/>
      <c r="B13" s="42" t="n"/>
      <c r="C13" s="42" t="n"/>
      <c r="D13" s="80" t="n"/>
    </row>
    <row r="14">
      <c r="A14" s="85" t="n"/>
      <c r="B14" s="42" t="n"/>
      <c r="C14" s="42" t="n"/>
      <c r="D14" s="80" t="n"/>
    </row>
    <row r="15">
      <c r="A15" s="85" t="n"/>
      <c r="B15" s="42" t="n"/>
      <c r="C15" s="42" t="n"/>
      <c r="D15" s="80" t="n"/>
    </row>
    <row r="16">
      <c r="A16" s="85" t="n"/>
      <c r="B16" s="42" t="n"/>
      <c r="C16" s="42" t="n"/>
      <c r="D16" s="80" t="n"/>
    </row>
    <row r="17">
      <c r="A17" s="85" t="n"/>
      <c r="B17" s="42" t="n"/>
      <c r="C17" s="42" t="n"/>
      <c r="D17" s="80" t="n"/>
    </row>
    <row r="18">
      <c r="A18" s="85" t="n"/>
      <c r="B18" s="42" t="n"/>
      <c r="C18" s="42" t="n"/>
      <c r="D18" s="80" t="n"/>
    </row>
    <row r="19">
      <c r="A19" s="85" t="n"/>
      <c r="B19" s="42" t="n"/>
      <c r="C19" s="42" t="n"/>
      <c r="D19" s="80" t="n"/>
    </row>
    <row r="20">
      <c r="A20" s="85" t="n"/>
      <c r="B20" s="42" t="n"/>
      <c r="C20" s="42" t="n"/>
      <c r="D20" s="80" t="n"/>
    </row>
    <row r="21">
      <c r="A21" s="85" t="n"/>
      <c r="B21" s="42" t="n"/>
      <c r="C21" s="42" t="n"/>
      <c r="D21" s="80" t="n"/>
    </row>
    <row r="22">
      <c r="A22" s="85" t="n"/>
      <c r="B22" s="42" t="n"/>
      <c r="C22" s="42" t="n"/>
      <c r="D22" s="80" t="n"/>
    </row>
    <row r="23">
      <c r="A23" s="85" t="n"/>
      <c r="B23" s="42" t="n"/>
      <c r="C23" s="42" t="n"/>
      <c r="D23" s="80" t="n"/>
    </row>
    <row r="24">
      <c r="A24" s="85" t="n"/>
      <c r="B24" s="42" t="n"/>
      <c r="C24" s="42" t="n"/>
      <c r="D24" s="80" t="n"/>
    </row>
    <row r="25">
      <c r="A25" s="85" t="n"/>
      <c r="B25" s="42" t="n"/>
      <c r="C25" s="42" t="n"/>
      <c r="D25" s="80" t="n"/>
    </row>
    <row r="26">
      <c r="A26" s="85" t="n"/>
      <c r="B26" s="42" t="n"/>
      <c r="C26" s="42" t="n"/>
      <c r="D26" s="80" t="n"/>
    </row>
    <row r="27">
      <c r="A27" s="85" t="n"/>
      <c r="B27" s="42" t="n"/>
      <c r="C27" s="42" t="n"/>
      <c r="D27" s="80" t="n"/>
    </row>
    <row r="28">
      <c r="A28" s="85" t="n"/>
      <c r="B28" s="42" t="n"/>
      <c r="C28" s="42" t="n"/>
      <c r="D28" s="80" t="n"/>
    </row>
    <row r="29">
      <c r="A29" s="85" t="n"/>
      <c r="B29" s="42" t="n"/>
      <c r="C29" s="42" t="n"/>
      <c r="D29" s="80" t="n"/>
    </row>
    <row r="30">
      <c r="A30" s="85" t="n"/>
      <c r="B30" s="42" t="n"/>
      <c r="C30" s="42" t="n"/>
      <c r="D30" s="80" t="n"/>
    </row>
    <row r="31">
      <c r="A31" s="85" t="n"/>
      <c r="B31" s="42" t="n"/>
      <c r="C31" s="42" t="n"/>
      <c r="D31" s="80" t="n"/>
    </row>
    <row r="32">
      <c r="A32" s="86" t="n"/>
      <c r="B32" s="84" t="n"/>
      <c r="C32" s="84" t="n"/>
      <c r="D32" s="82" t="n"/>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D32"/>
  <sheetViews>
    <sheetView workbookViewId="0">
      <selection activeCell="L14" sqref="L14"/>
    </sheetView>
  </sheetViews>
  <sheetFormatPr baseColWidth="8" defaultRowHeight="15"/>
  <cols>
    <col width="18.85546875" customWidth="1" min="1" max="1"/>
    <col width="12.85546875" bestFit="1" customWidth="1" min="2" max="2"/>
    <col width="9.28515625" customWidth="1" style="5" min="3" max="3"/>
    <col width="16" bestFit="1" customWidth="1" min="4" max="4"/>
    <col width="12.140625" customWidth="1" min="6" max="6"/>
  </cols>
  <sheetData>
    <row r="1">
      <c r="A1" s="77" t="n"/>
      <c r="B1" s="41" t="n"/>
      <c r="C1" s="41" t="n"/>
      <c r="D1" s="78" t="n"/>
    </row>
    <row r="2">
      <c r="A2" s="85" t="n"/>
      <c r="B2" s="42" t="n"/>
      <c r="C2" s="42" t="n"/>
      <c r="D2" s="80" t="n"/>
    </row>
    <row r="3">
      <c r="A3" s="85" t="n"/>
      <c r="B3" s="42" t="n"/>
      <c r="C3" s="42" t="n"/>
      <c r="D3" s="80" t="n"/>
    </row>
    <row r="4">
      <c r="A4" s="85" t="n"/>
      <c r="B4" s="42" t="n"/>
      <c r="C4" s="42" t="n"/>
      <c r="D4" s="80" t="n"/>
    </row>
    <row r="5">
      <c r="A5" s="85" t="n"/>
      <c r="B5" s="42" t="n"/>
      <c r="C5" s="42" t="n"/>
      <c r="D5" s="80" t="n"/>
    </row>
    <row r="6">
      <c r="A6" s="85" t="n"/>
      <c r="B6" s="42" t="n"/>
      <c r="C6" s="42" t="n"/>
      <c r="D6" s="80" t="n"/>
    </row>
    <row r="7">
      <c r="A7" s="85" t="n"/>
      <c r="B7" s="42" t="n"/>
      <c r="C7" s="42" t="n"/>
      <c r="D7" s="80" t="n"/>
    </row>
    <row r="8">
      <c r="A8" s="85" t="n"/>
      <c r="B8" s="42" t="n"/>
      <c r="C8" s="42" t="n"/>
      <c r="D8" s="80" t="n"/>
    </row>
    <row r="9">
      <c r="A9" s="85" t="n"/>
      <c r="B9" s="42" t="n"/>
      <c r="C9" s="42" t="n"/>
      <c r="D9" s="80" t="n"/>
    </row>
    <row r="10">
      <c r="A10" s="85" t="n"/>
      <c r="B10" s="42" t="n"/>
      <c r="C10" s="42" t="n"/>
      <c r="D10" s="80" t="n"/>
    </row>
    <row r="11">
      <c r="A11" s="85" t="n"/>
      <c r="B11" s="42" t="n"/>
      <c r="C11" s="42" t="n"/>
      <c r="D11" s="80" t="n"/>
    </row>
    <row r="12">
      <c r="A12" s="85" t="n"/>
      <c r="B12" s="42" t="n"/>
      <c r="C12" s="42" t="n"/>
      <c r="D12" s="80" t="n"/>
    </row>
    <row r="13">
      <c r="A13" s="85" t="n"/>
      <c r="B13" s="42" t="n"/>
      <c r="C13" s="42" t="n"/>
      <c r="D13" s="80" t="n"/>
    </row>
    <row r="14">
      <c r="A14" s="85" t="n"/>
      <c r="B14" s="42" t="n"/>
      <c r="C14" s="42" t="n"/>
      <c r="D14" s="80" t="n"/>
    </row>
    <row r="15">
      <c r="A15" s="85" t="n"/>
      <c r="B15" s="42" t="n"/>
      <c r="C15" s="42" t="n"/>
      <c r="D15" s="80" t="n"/>
    </row>
    <row r="16">
      <c r="A16" s="85" t="n"/>
      <c r="B16" s="42" t="n"/>
      <c r="C16" s="42" t="n"/>
      <c r="D16" s="80" t="n"/>
    </row>
    <row r="17">
      <c r="A17" s="85" t="n"/>
      <c r="B17" s="42" t="n"/>
      <c r="C17" s="42" t="n"/>
      <c r="D17" s="80" t="n"/>
    </row>
    <row r="18">
      <c r="A18" s="85" t="n"/>
      <c r="B18" s="42" t="n"/>
      <c r="C18" s="42" t="n"/>
      <c r="D18" s="80" t="n"/>
    </row>
    <row r="19">
      <c r="A19" s="85" t="n"/>
      <c r="B19" s="42" t="n"/>
      <c r="C19" s="42" t="n"/>
      <c r="D19" s="80" t="n"/>
    </row>
    <row r="20">
      <c r="A20" s="85" t="n"/>
      <c r="B20" s="42" t="n"/>
      <c r="C20" s="42" t="n"/>
      <c r="D20" s="80" t="n"/>
    </row>
    <row r="21">
      <c r="A21" s="85" t="n"/>
      <c r="B21" s="42" t="n"/>
      <c r="C21" s="42" t="n"/>
      <c r="D21" s="80" t="n"/>
    </row>
    <row r="22">
      <c r="A22" s="85" t="n"/>
      <c r="B22" s="42" t="n"/>
      <c r="C22" s="42" t="n"/>
      <c r="D22" s="80" t="n"/>
    </row>
    <row r="23">
      <c r="A23" s="85" t="n"/>
      <c r="B23" s="42" t="n"/>
      <c r="C23" s="42" t="n"/>
      <c r="D23" s="80" t="n"/>
    </row>
    <row r="24">
      <c r="A24" s="85" t="n"/>
      <c r="B24" s="42" t="n"/>
      <c r="C24" s="42" t="n"/>
      <c r="D24" s="80" t="n"/>
    </row>
    <row r="25">
      <c r="A25" s="85" t="n"/>
      <c r="B25" s="42" t="n"/>
      <c r="C25" s="42" t="n"/>
      <c r="D25" s="80" t="n"/>
    </row>
    <row r="26">
      <c r="A26" s="85" t="n"/>
      <c r="B26" s="42" t="n"/>
      <c r="C26" s="42" t="n"/>
      <c r="D26" s="80" t="n"/>
    </row>
    <row r="27">
      <c r="A27" s="85" t="n"/>
      <c r="B27" s="42" t="n"/>
      <c r="C27" s="42" t="n"/>
      <c r="D27" s="80" t="n"/>
    </row>
    <row r="28">
      <c r="A28" s="85" t="n"/>
      <c r="B28" s="42" t="n"/>
      <c r="C28" s="42" t="n"/>
      <c r="D28" s="80" t="n"/>
    </row>
    <row r="29">
      <c r="A29" s="85" t="n"/>
      <c r="B29" s="42" t="n"/>
      <c r="C29" s="42" t="n"/>
      <c r="D29" s="80" t="n"/>
    </row>
    <row r="30">
      <c r="A30" s="85" t="n"/>
      <c r="B30" s="42" t="n"/>
      <c r="C30" s="42" t="n"/>
      <c r="D30" s="80" t="n"/>
    </row>
    <row r="31">
      <c r="A31" s="85" t="n"/>
      <c r="B31" s="42" t="n"/>
      <c r="C31" s="42" t="n"/>
      <c r="D31" s="80" t="n"/>
    </row>
    <row r="32">
      <c r="A32" s="86" t="n"/>
      <c r="B32" s="84" t="n"/>
      <c r="C32" s="84" t="n"/>
      <c r="D32" s="82" t="n"/>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D29"/>
  <sheetViews>
    <sheetView workbookViewId="0">
      <selection activeCell="D10" sqref="D10"/>
    </sheetView>
  </sheetViews>
  <sheetFormatPr baseColWidth="8" defaultRowHeight="15"/>
  <cols>
    <col width="18.85546875" customWidth="1" min="1" max="1"/>
    <col width="12.85546875" bestFit="1" customWidth="1" min="2" max="2"/>
    <col width="9.28515625" customWidth="1" style="5" min="3" max="3"/>
    <col width="16" bestFit="1" customWidth="1" min="4" max="4"/>
    <col width="12.140625" customWidth="1" min="6" max="6"/>
  </cols>
  <sheetData>
    <row r="1">
      <c r="A1" s="87" t="n"/>
      <c r="B1" s="87" t="n"/>
      <c r="C1" s="12" t="n"/>
      <c r="D1" s="12" t="n"/>
    </row>
    <row r="2">
      <c r="A2" s="87" t="n"/>
      <c r="B2" s="88" t="n"/>
      <c r="C2" s="14" t="n"/>
      <c r="D2" s="14" t="n"/>
    </row>
    <row r="3">
      <c r="A3" s="87" t="n"/>
      <c r="B3" s="88" t="n"/>
      <c r="C3" s="14" t="n"/>
      <c r="D3" s="14" t="n"/>
    </row>
    <row r="4">
      <c r="A4" s="13" t="n"/>
      <c r="B4" s="14" t="n"/>
      <c r="C4" s="14" t="n"/>
      <c r="D4" s="14" t="n"/>
    </row>
    <row r="5">
      <c r="A5" s="13" t="n"/>
      <c r="B5" s="14" t="n"/>
      <c r="C5" s="14" t="n"/>
      <c r="D5" s="14" t="n"/>
    </row>
    <row r="6">
      <c r="A6" s="13" t="n"/>
      <c r="B6" s="14" t="n"/>
      <c r="C6" s="14" t="n"/>
      <c r="D6" s="14" t="n"/>
    </row>
    <row r="7">
      <c r="A7" s="13" t="n"/>
      <c r="B7" s="14" t="n"/>
      <c r="C7" s="14" t="n"/>
      <c r="D7" s="14" t="n"/>
    </row>
    <row r="8">
      <c r="A8" s="13" t="n"/>
      <c r="B8" s="14" t="n"/>
      <c r="C8" s="14" t="n"/>
      <c r="D8" s="14" t="n"/>
    </row>
    <row r="9">
      <c r="A9" s="13" t="n"/>
      <c r="B9" s="14" t="n"/>
      <c r="C9" s="14" t="n"/>
      <c r="D9" s="14" t="n"/>
    </row>
    <row r="10">
      <c r="A10" s="13" t="n"/>
      <c r="B10" s="14" t="n"/>
      <c r="C10" s="14" t="n"/>
      <c r="D10" s="14" t="n"/>
    </row>
    <row r="11">
      <c r="A11" s="13" t="n"/>
      <c r="B11" s="14" t="n"/>
      <c r="C11" s="14" t="n"/>
      <c r="D11" s="14" t="n"/>
    </row>
    <row r="12">
      <c r="A12" s="13" t="n"/>
      <c r="B12" s="14" t="n"/>
      <c r="C12" s="14" t="n"/>
      <c r="D12" s="14" t="n"/>
    </row>
    <row r="13">
      <c r="A13" s="13" t="n"/>
      <c r="B13" s="14" t="n"/>
      <c r="C13" s="14" t="n"/>
      <c r="D13" s="14" t="n"/>
    </row>
    <row r="14">
      <c r="A14" s="13" t="n"/>
      <c r="B14" s="14" t="n"/>
      <c r="C14" s="14" t="n"/>
      <c r="D14" s="14" t="n"/>
    </row>
    <row r="15">
      <c r="A15" s="13" t="n"/>
      <c r="B15" s="14" t="n"/>
      <c r="C15" s="14" t="n"/>
      <c r="D15" s="14" t="n"/>
    </row>
    <row r="16">
      <c r="A16" s="13" t="n"/>
      <c r="B16" s="14" t="n"/>
      <c r="C16" s="14" t="n"/>
      <c r="D16" s="14" t="n"/>
    </row>
    <row r="17">
      <c r="A17" s="13" t="n"/>
      <c r="B17" s="14" t="n"/>
      <c r="C17" s="14" t="n"/>
      <c r="D17" s="14" t="n"/>
    </row>
    <row r="18">
      <c r="A18" s="13" t="n"/>
      <c r="B18" s="14" t="n"/>
      <c r="C18" s="14" t="n"/>
      <c r="D18" s="14" t="n"/>
    </row>
    <row r="19">
      <c r="A19" s="13" t="n"/>
      <c r="B19" s="14" t="n"/>
      <c r="C19" s="14" t="n"/>
      <c r="D19" s="14" t="n"/>
    </row>
    <row r="20">
      <c r="A20" s="13" t="n"/>
      <c r="B20" s="14" t="n"/>
      <c r="C20" s="14" t="n"/>
      <c r="D20" s="14" t="n"/>
    </row>
    <row r="21">
      <c r="A21" s="13" t="n"/>
      <c r="B21" s="14" t="n"/>
      <c r="C21" s="14" t="n"/>
      <c r="D21" s="14" t="n"/>
    </row>
    <row r="22">
      <c r="A22" s="13" t="n"/>
      <c r="B22" s="14" t="n"/>
      <c r="C22" s="14" t="n"/>
      <c r="D22" s="14" t="n"/>
    </row>
    <row r="23">
      <c r="A23" s="13" t="n"/>
      <c r="B23" s="14" t="n"/>
      <c r="C23" s="14" t="n"/>
      <c r="D23" s="14" t="n"/>
    </row>
    <row r="24">
      <c r="A24" s="13" t="n"/>
      <c r="B24" s="14" t="n"/>
      <c r="C24" s="14" t="n"/>
      <c r="D24" s="14" t="n"/>
    </row>
    <row r="25">
      <c r="A25" s="13" t="n"/>
      <c r="B25" s="14" t="n"/>
      <c r="C25" s="14" t="n"/>
      <c r="D25" s="14" t="n"/>
    </row>
    <row r="26">
      <c r="A26" s="13" t="n"/>
      <c r="B26" s="14" t="n"/>
      <c r="C26" s="14" t="n"/>
      <c r="D26" s="14" t="n"/>
    </row>
    <row r="27">
      <c r="A27" s="13" t="n"/>
      <c r="B27" s="14" t="n"/>
      <c r="C27" s="14" t="n"/>
      <c r="D27" s="14" t="n"/>
    </row>
    <row r="28">
      <c r="A28" s="13" t="n"/>
      <c r="B28" s="14" t="n"/>
      <c r="C28" s="14" t="n"/>
      <c r="D28" s="14" t="n"/>
    </row>
    <row r="29">
      <c r="A29" s="13" t="n"/>
      <c r="B29" s="14" t="n"/>
      <c r="C29" s="14" t="n"/>
      <c r="D29" s="14" t="n"/>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D22"/>
  <sheetViews>
    <sheetView workbookViewId="0">
      <selection activeCell="G16" sqref="G16"/>
    </sheetView>
  </sheetViews>
  <sheetFormatPr baseColWidth="8" defaultRowHeight="15"/>
  <cols>
    <col width="18.85546875" customWidth="1" min="1" max="1"/>
    <col width="12.85546875" bestFit="1" customWidth="1" min="2" max="2"/>
    <col width="9.28515625" customWidth="1" style="5" min="3" max="3"/>
    <col width="16" bestFit="1" customWidth="1" min="4" max="4"/>
    <col width="12.140625" customWidth="1" min="6" max="6"/>
  </cols>
  <sheetData>
    <row r="1">
      <c r="A1" s="87" t="n"/>
      <c r="B1" s="87" t="n"/>
      <c r="C1" s="12" t="n"/>
      <c r="D1" s="12" t="n"/>
    </row>
    <row r="2">
      <c r="A2" s="88" t="n"/>
      <c r="B2" s="88" t="n"/>
      <c r="C2" s="13" t="n"/>
      <c r="D2" s="14" t="n"/>
    </row>
    <row r="3">
      <c r="A3" s="88" t="n"/>
      <c r="B3" s="88" t="n"/>
      <c r="C3" s="13" t="n"/>
      <c r="D3" s="14" t="n"/>
    </row>
    <row r="4">
      <c r="A4" s="88" t="n"/>
      <c r="B4" s="88" t="n"/>
      <c r="C4" s="14" t="n"/>
      <c r="D4" s="14" t="n"/>
    </row>
    <row r="5">
      <c r="A5" s="88" t="n"/>
      <c r="B5" s="88" t="n"/>
      <c r="C5" s="14" t="n"/>
      <c r="D5" s="14" t="n"/>
    </row>
    <row r="6">
      <c r="A6" s="88" t="n"/>
      <c r="B6" s="88" t="n"/>
      <c r="C6" s="14" t="n"/>
      <c r="D6" s="14" t="n"/>
    </row>
    <row r="7">
      <c r="A7" s="88" t="n"/>
      <c r="B7" s="88" t="n"/>
      <c r="C7" s="14" t="n"/>
      <c r="D7" s="14" t="n"/>
    </row>
    <row r="8">
      <c r="A8" s="88" t="n"/>
      <c r="B8" s="88" t="n"/>
      <c r="C8" s="14" t="n"/>
      <c r="D8" s="14" t="n"/>
    </row>
    <row r="9">
      <c r="A9" s="88" t="n"/>
      <c r="B9" s="88" t="n"/>
      <c r="C9" s="14" t="n"/>
      <c r="D9" s="14" t="n"/>
    </row>
    <row r="10">
      <c r="A10" s="88" t="n"/>
      <c r="B10" s="88" t="n"/>
      <c r="C10" s="14" t="n"/>
      <c r="D10" s="14" t="n"/>
    </row>
    <row r="11">
      <c r="A11" s="88" t="n"/>
      <c r="B11" s="88" t="n"/>
      <c r="C11" s="14" t="n"/>
      <c r="D11" s="14" t="n"/>
    </row>
    <row r="12">
      <c r="A12" s="88" t="n"/>
      <c r="B12" s="88" t="n"/>
      <c r="C12" s="14" t="n"/>
      <c r="D12" s="14" t="n"/>
    </row>
    <row r="13">
      <c r="A13" s="88" t="n"/>
      <c r="B13" s="88" t="n"/>
      <c r="C13" s="14" t="n"/>
      <c r="D13" s="14" t="n"/>
    </row>
    <row r="14">
      <c r="A14" s="88" t="n"/>
      <c r="B14" s="88" t="n"/>
      <c r="C14" s="14" t="n"/>
      <c r="D14" s="14" t="n"/>
    </row>
    <row r="15">
      <c r="A15" s="13" t="n"/>
      <c r="B15" s="14" t="n"/>
      <c r="C15" s="14" t="n"/>
      <c r="D15" s="14" t="n"/>
    </row>
    <row r="16">
      <c r="A16" s="13" t="n"/>
      <c r="B16" s="14" t="n"/>
      <c r="C16" s="14" t="n"/>
      <c r="D16" s="14" t="n"/>
    </row>
    <row r="17">
      <c r="A17" s="13" t="n"/>
      <c r="B17" s="14" t="n"/>
      <c r="C17" s="14" t="n"/>
      <c r="D17" s="14" t="n"/>
    </row>
    <row r="18">
      <c r="A18" s="13" t="n"/>
      <c r="B18" s="14" t="n"/>
      <c r="C18" s="14" t="n"/>
      <c r="D18" s="14" t="n"/>
    </row>
    <row r="19">
      <c r="A19" s="13" t="n"/>
      <c r="B19" s="14" t="n"/>
      <c r="C19" s="14" t="n"/>
      <c r="D19" s="14" t="n"/>
    </row>
    <row r="20">
      <c r="A20" s="13" t="n"/>
      <c r="B20" s="14" t="n"/>
      <c r="C20" s="14" t="n"/>
      <c r="D20" s="14" t="n"/>
    </row>
    <row r="21">
      <c r="A21" s="13" t="n"/>
      <c r="B21" s="14" t="n"/>
      <c r="C21" s="14" t="n"/>
      <c r="D21" s="14" t="n"/>
    </row>
    <row r="22">
      <c r="A22" s="13" t="n"/>
      <c r="B22" s="14" t="n"/>
      <c r="C22" s="14" t="n"/>
      <c r="D22" s="14" t="n"/>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16"/>
  <sheetViews>
    <sheetView workbookViewId="0">
      <selection activeCell="I15" sqref="I15"/>
    </sheetView>
  </sheetViews>
  <sheetFormatPr baseColWidth="8" defaultRowHeight="15"/>
  <cols>
    <col width="32" bestFit="1" customWidth="1" min="1" max="1"/>
    <col width="21" bestFit="1" customWidth="1" min="2" max="2"/>
    <col width="15.42578125" bestFit="1" customWidth="1" min="3" max="3"/>
    <col width="27.28515625" bestFit="1" customWidth="1" min="5" max="5"/>
  </cols>
  <sheetData>
    <row r="1">
      <c r="A1" s="87" t="n"/>
      <c r="B1" s="87" t="n"/>
      <c r="C1" s="87" t="n"/>
      <c r="D1" s="87" t="n"/>
      <c r="E1" s="87" t="n"/>
    </row>
    <row r="2">
      <c r="A2" s="87" t="n"/>
      <c r="B2" s="88" t="n"/>
      <c r="C2" s="88" t="n"/>
      <c r="D2" s="88" t="n"/>
      <c r="E2" s="88" t="n"/>
    </row>
    <row r="3">
      <c r="A3" s="87" t="n"/>
      <c r="B3" s="88" t="n"/>
      <c r="C3" s="88" t="n"/>
      <c r="D3" s="88" t="n"/>
      <c r="E3" s="88" t="n"/>
    </row>
    <row r="4">
      <c r="A4" s="87" t="n"/>
      <c r="B4" s="88" t="n"/>
      <c r="C4" s="88" t="n"/>
      <c r="D4" s="88" t="n"/>
      <c r="E4" s="88" t="n"/>
    </row>
    <row r="5">
      <c r="A5" s="87" t="n"/>
      <c r="B5" s="88" t="n"/>
      <c r="C5" s="88" t="n"/>
      <c r="D5" s="88" t="n"/>
      <c r="E5" s="88" t="n"/>
    </row>
    <row r="6">
      <c r="A6" s="87" t="n"/>
      <c r="B6" s="88" t="n"/>
      <c r="C6" s="88" t="n"/>
      <c r="D6" s="88" t="n"/>
      <c r="E6" s="88" t="n"/>
    </row>
    <row r="7">
      <c r="A7" s="87" t="n"/>
      <c r="B7" s="88" t="n"/>
      <c r="C7" s="88" t="n"/>
      <c r="D7" s="88" t="n"/>
      <c r="E7" s="88" t="n"/>
    </row>
    <row r="8">
      <c r="A8" s="87" t="n"/>
      <c r="B8" s="88" t="n"/>
      <c r="C8" s="88" t="n"/>
      <c r="D8" s="88" t="n"/>
      <c r="E8" s="88" t="n"/>
    </row>
    <row r="9">
      <c r="A9" s="43" t="n"/>
      <c r="B9" s="43" t="n"/>
      <c r="C9" s="43" t="n"/>
      <c r="D9" s="43" t="n"/>
      <c r="E9" s="43" t="n"/>
      <c r="F9" s="43" t="n"/>
    </row>
    <row r="10">
      <c r="A10" s="43" t="n"/>
      <c r="B10" s="43" t="n"/>
      <c r="C10" s="43" t="n"/>
      <c r="D10" s="43" t="n"/>
      <c r="E10" s="43" t="n"/>
      <c r="F10" s="43" t="n"/>
    </row>
    <row r="11">
      <c r="A11" s="43" t="n"/>
      <c r="B11" s="43" t="n"/>
      <c r="C11" s="43" t="n"/>
      <c r="D11" s="43" t="n"/>
      <c r="E11" s="43" t="n"/>
      <c r="F11" s="43" t="n"/>
    </row>
    <row r="12">
      <c r="A12" s="43" t="n"/>
      <c r="B12" s="43" t="n"/>
      <c r="C12" s="43" t="n"/>
      <c r="D12" s="43" t="n"/>
      <c r="E12" s="43" t="n"/>
      <c r="F12" s="43" t="n"/>
    </row>
    <row r="13">
      <c r="A13" s="43" t="n"/>
      <c r="B13" s="43" t="n"/>
      <c r="C13" s="43" t="n"/>
      <c r="D13" s="43" t="n"/>
      <c r="E13" s="43" t="n"/>
      <c r="F13" s="43" t="n"/>
    </row>
    <row r="14">
      <c r="A14" s="43" t="n"/>
      <c r="B14" s="43" t="n"/>
      <c r="C14" s="43" t="n"/>
      <c r="D14" s="43" t="n"/>
      <c r="E14" s="43" t="n"/>
      <c r="F14" s="43" t="n"/>
    </row>
    <row r="15">
      <c r="A15" s="43" t="n"/>
      <c r="B15" s="53" t="n"/>
      <c r="C15" s="53" t="n"/>
      <c r="D15" s="43" t="n"/>
      <c r="E15" s="43" t="n"/>
      <c r="F15" s="43" t="n"/>
    </row>
    <row r="16">
      <c r="A16" s="43" t="n"/>
      <c r="B16" s="53" t="n"/>
      <c r="C16" s="43" t="n"/>
      <c r="D16" s="43" t="n"/>
      <c r="E16" s="43" t="n"/>
      <c r="F16" s="43" t="n"/>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32"/>
  <sheetViews>
    <sheetView workbookViewId="0">
      <selection activeCell="I14" sqref="I14"/>
    </sheetView>
  </sheetViews>
  <sheetFormatPr baseColWidth="8" defaultRowHeight="15"/>
  <sheetData>
    <row r="1">
      <c r="A1" s="87" t="n"/>
      <c r="B1" s="87" t="n"/>
      <c r="C1" s="87" t="n"/>
    </row>
    <row r="2">
      <c r="A2" s="88" t="n"/>
      <c r="B2" s="88" t="n"/>
      <c r="C2" s="88" t="n"/>
    </row>
    <row r="3">
      <c r="A3" s="88" t="n"/>
      <c r="B3" s="88" t="n"/>
      <c r="C3" s="88" t="n"/>
    </row>
    <row r="4">
      <c r="A4" s="88" t="n"/>
      <c r="B4" s="88" t="n"/>
      <c r="C4" s="88" t="n"/>
    </row>
    <row r="5">
      <c r="A5" s="88" t="n"/>
      <c r="B5" s="88" t="n"/>
      <c r="C5" s="88" t="n"/>
    </row>
    <row r="6">
      <c r="A6" s="88" t="n"/>
      <c r="B6" s="88" t="n"/>
      <c r="C6" s="88" t="n"/>
    </row>
    <row r="7">
      <c r="A7" s="88" t="n"/>
      <c r="B7" s="88" t="n"/>
      <c r="C7" s="88" t="n"/>
    </row>
    <row r="8">
      <c r="A8" s="88" t="n"/>
      <c r="B8" s="88" t="n"/>
      <c r="C8" s="93" t="n"/>
    </row>
    <row r="9">
      <c r="A9" s="88" t="n"/>
      <c r="B9" s="88" t="n"/>
      <c r="C9" s="88" t="n"/>
    </row>
    <row r="10">
      <c r="A10" s="88" t="n"/>
      <c r="B10" s="88" t="n"/>
      <c r="C10" s="89" t="n"/>
    </row>
    <row r="11">
      <c r="A11" s="88" t="n"/>
      <c r="B11" s="88" t="n"/>
      <c r="C11" s="88" t="n"/>
    </row>
    <row r="12">
      <c r="A12" s="88" t="n"/>
      <c r="B12" s="88" t="n"/>
      <c r="C12" s="88" t="n"/>
    </row>
    <row r="13">
      <c r="A13" s="88" t="n"/>
      <c r="B13" s="88" t="n"/>
      <c r="C13" s="88" t="n"/>
    </row>
    <row r="14">
      <c r="A14" s="88" t="n"/>
      <c r="B14" s="88" t="n"/>
      <c r="C14" s="89" t="n"/>
    </row>
    <row r="15">
      <c r="A15" s="88" t="n"/>
      <c r="B15" s="88" t="n"/>
      <c r="C15" s="88" t="n"/>
    </row>
    <row r="16">
      <c r="A16" s="88" t="n"/>
      <c r="B16" s="88" t="n"/>
      <c r="C16" s="88" t="n"/>
    </row>
    <row r="17">
      <c r="A17" s="88" t="n"/>
      <c r="B17" s="88" t="n"/>
      <c r="C17" s="88" t="n"/>
    </row>
    <row r="18">
      <c r="A18" s="88" t="n"/>
      <c r="B18" s="88" t="n"/>
      <c r="C18" s="89" t="n"/>
    </row>
    <row r="19">
      <c r="A19" s="88" t="n"/>
      <c r="B19" s="88" t="n"/>
      <c r="C19" s="88" t="n"/>
    </row>
    <row r="20">
      <c r="A20" s="88" t="n"/>
      <c r="B20" s="88" t="n"/>
      <c r="C20" s="88" t="n"/>
    </row>
    <row r="21">
      <c r="A21" s="88" t="n"/>
      <c r="B21" s="88" t="n"/>
      <c r="C21" s="88" t="n"/>
    </row>
    <row r="22">
      <c r="A22" s="88" t="n"/>
      <c r="B22" s="88" t="n"/>
      <c r="C22" s="88" t="n"/>
    </row>
    <row r="23">
      <c r="A23" s="88" t="n"/>
      <c r="B23" s="88" t="n"/>
      <c r="C23" s="88" t="n"/>
    </row>
    <row r="24">
      <c r="A24" s="88" t="n"/>
      <c r="B24" s="88" t="n"/>
      <c r="C24" s="88" t="n"/>
    </row>
    <row r="25">
      <c r="A25" s="88" t="n"/>
      <c r="B25" s="88" t="n"/>
      <c r="C25" s="88" t="n"/>
    </row>
    <row r="26">
      <c r="A26" s="88" t="n"/>
      <c r="B26" s="88" t="n"/>
      <c r="C26" s="88" t="n"/>
    </row>
    <row r="27">
      <c r="A27" s="88" t="n"/>
      <c r="B27" s="88" t="n"/>
      <c r="C27" s="88" t="n"/>
    </row>
    <row r="28">
      <c r="A28" s="88" t="n"/>
      <c r="B28" s="88" t="n"/>
      <c r="C28" s="88" t="n"/>
    </row>
    <row r="29">
      <c r="A29" s="88" t="n"/>
      <c r="B29" s="88" t="n"/>
      <c r="C29" s="88" t="n"/>
    </row>
    <row r="30">
      <c r="A30" s="88" t="n"/>
      <c r="B30" s="88" t="n"/>
      <c r="C30" s="88" t="n"/>
    </row>
    <row r="31">
      <c r="A31" s="88" t="n"/>
      <c r="B31" s="88" t="n"/>
      <c r="C31" s="88" t="n"/>
    </row>
    <row r="32">
      <c r="A32" s="88" t="n"/>
      <c r="B32" s="88" t="n"/>
      <c r="C32" s="88" t="n"/>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D16"/>
  <sheetViews>
    <sheetView workbookViewId="0">
      <selection activeCell="B17" sqref="B17"/>
    </sheetView>
  </sheetViews>
  <sheetFormatPr baseColWidth="8" defaultRowHeight="15"/>
  <cols>
    <col width="78.42578125" customWidth="1" min="1" max="1"/>
    <col width="26.5703125" customWidth="1" min="2" max="2"/>
  </cols>
  <sheetData>
    <row r="1">
      <c r="A1" s="87" t="n"/>
      <c r="B1" s="87" t="n"/>
      <c r="C1" s="51" t="n"/>
      <c r="D1" s="51" t="n"/>
    </row>
    <row r="2">
      <c r="A2" s="88" t="n"/>
      <c r="B2" s="88" t="n"/>
      <c r="C2" s="51" t="n"/>
      <c r="D2" s="51" t="n"/>
    </row>
    <row r="3">
      <c r="A3" s="88" t="n"/>
      <c r="B3" s="88" t="n"/>
      <c r="C3" s="51" t="n"/>
      <c r="D3" s="51" t="n"/>
    </row>
    <row r="4">
      <c r="A4" s="88" t="n"/>
      <c r="B4" s="88" t="n"/>
      <c r="C4" s="51" t="n"/>
      <c r="D4" s="51" t="n"/>
    </row>
    <row r="5">
      <c r="A5" s="88" t="n"/>
      <c r="B5" s="88" t="n"/>
      <c r="C5" s="51" t="n"/>
      <c r="D5" s="51" t="n"/>
    </row>
    <row r="6">
      <c r="A6" s="88" t="n"/>
      <c r="B6" s="88" t="n"/>
      <c r="C6" s="51" t="n"/>
      <c r="D6" s="51" t="n"/>
    </row>
    <row r="7">
      <c r="A7" s="88" t="n"/>
      <c r="B7" s="88" t="n"/>
      <c r="C7" s="51" t="n"/>
      <c r="D7" s="51" t="n"/>
    </row>
    <row r="8">
      <c r="A8" s="88" t="n"/>
      <c r="B8" s="88" t="n"/>
      <c r="C8" s="51" t="n"/>
      <c r="D8" s="51" t="n"/>
    </row>
    <row r="9">
      <c r="A9" s="51" t="n"/>
      <c r="B9" s="51" t="n"/>
      <c r="C9" s="51" t="n"/>
      <c r="D9" s="51" t="n"/>
    </row>
    <row r="10">
      <c r="A10" s="52" t="n"/>
      <c r="B10" s="51" t="n"/>
      <c r="C10" s="51" t="n"/>
      <c r="D10" s="51" t="n"/>
    </row>
    <row r="11">
      <c r="A11" s="52" t="n"/>
      <c r="B11" s="51" t="n"/>
      <c r="C11" s="51" t="n"/>
      <c r="D11" s="51" t="n"/>
    </row>
    <row r="12">
      <c r="A12" s="44" t="n"/>
    </row>
    <row r="13">
      <c r="A13" s="44" t="n"/>
    </row>
    <row r="14">
      <c r="A14" s="44" t="n"/>
    </row>
    <row r="15">
      <c r="A15" s="44" t="n"/>
    </row>
    <row r="16">
      <c r="A16" s="44" t="n"/>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AF41"/>
  <sheetViews>
    <sheetView workbookViewId="0">
      <selection activeCell="N20" sqref="N20"/>
    </sheetView>
  </sheetViews>
  <sheetFormatPr baseColWidth="8" defaultRowHeight="15"/>
  <cols>
    <col width="32" bestFit="1" customWidth="1" min="1" max="1"/>
    <col width="2.28515625" bestFit="1" customWidth="1" min="2" max="3"/>
    <col width="3.5703125" customWidth="1" min="4" max="4"/>
    <col width="4.28515625" customWidth="1" min="5" max="5"/>
    <col width="5" bestFit="1" customWidth="1" min="6" max="7"/>
    <col width="5.42578125" customWidth="1" min="8" max="8"/>
    <col width="4.85546875" customWidth="1" min="9" max="9"/>
    <col width="5.7109375" customWidth="1" min="10" max="10"/>
    <col width="8.140625" customWidth="1" min="11" max="11"/>
    <col width="5" bestFit="1" customWidth="1" min="12" max="12"/>
    <col width="11.42578125" bestFit="1" customWidth="1" min="13" max="13"/>
    <col width="5" customWidth="1" min="14" max="14"/>
    <col width="3.28515625" bestFit="1" customWidth="1" min="15" max="32"/>
  </cols>
  <sheetData>
    <row r="1">
      <c r="A1" s="87" t="n"/>
      <c r="B1" s="87" t="n"/>
      <c r="C1" s="87" t="n"/>
      <c r="D1" s="87" t="n"/>
      <c r="E1" s="87" t="n"/>
      <c r="F1" s="87" t="n"/>
      <c r="G1" s="87" t="n"/>
      <c r="H1" s="87" t="n"/>
      <c r="I1" s="87" t="n"/>
      <c r="J1" s="87" t="n"/>
      <c r="K1" s="87" t="n"/>
      <c r="L1" s="87" t="n"/>
      <c r="M1" s="87" t="n"/>
      <c r="N1" s="87" t="n"/>
      <c r="O1" s="87" t="n"/>
      <c r="P1" s="87" t="n"/>
      <c r="Q1" s="87" t="n"/>
      <c r="R1" s="87" t="n"/>
      <c r="S1" s="87" t="n"/>
      <c r="T1" s="43" t="n"/>
      <c r="U1" s="43" t="n"/>
      <c r="V1" s="43" t="n"/>
      <c r="W1" s="43" t="n"/>
      <c r="X1" s="43" t="n"/>
      <c r="Y1" s="43" t="n"/>
      <c r="Z1" s="43" t="n"/>
      <c r="AA1" s="43" t="n"/>
      <c r="AB1" s="43" t="n"/>
      <c r="AC1" s="43" t="n"/>
      <c r="AD1" s="43" t="n"/>
      <c r="AE1" s="18" t="n"/>
      <c r="AF1" s="18" t="n"/>
    </row>
    <row r="2">
      <c r="A2" s="87" t="n"/>
      <c r="B2" s="88" t="n"/>
      <c r="C2" s="88" t="n"/>
      <c r="D2" s="88" t="n"/>
      <c r="E2" s="88" t="n"/>
      <c r="F2" s="88" t="n"/>
      <c r="G2" s="88" t="n"/>
      <c r="H2" s="88" t="n"/>
      <c r="I2" s="88" t="n"/>
      <c r="J2" s="88" t="n"/>
      <c r="K2" s="88" t="n"/>
      <c r="L2" s="88" t="n"/>
      <c r="M2" s="88" t="n"/>
      <c r="N2" s="88" t="n"/>
      <c r="O2" s="88" t="n"/>
      <c r="P2" s="88" t="n"/>
      <c r="Q2" s="88" t="n"/>
      <c r="R2" s="88" t="n"/>
      <c r="S2" s="88" t="n"/>
      <c r="T2" s="43" t="n"/>
      <c r="U2" s="43" t="n"/>
      <c r="V2" s="43" t="n"/>
      <c r="W2" s="43" t="n"/>
      <c r="X2" s="43" t="n"/>
      <c r="Y2" s="43" t="n"/>
      <c r="Z2" s="43" t="n"/>
      <c r="AA2" s="43" t="n"/>
      <c r="AB2" s="43" t="n"/>
      <c r="AC2" s="43" t="n"/>
      <c r="AD2" s="43" t="n"/>
      <c r="AE2" s="5" t="n"/>
      <c r="AF2" s="5" t="n"/>
    </row>
    <row r="3">
      <c r="A3" s="87" t="n"/>
      <c r="B3" s="88" t="n"/>
      <c r="C3" s="88" t="n"/>
      <c r="D3" s="88" t="n"/>
      <c r="E3" s="88" t="n"/>
      <c r="F3" s="88" t="n"/>
      <c r="G3" s="88" t="n"/>
      <c r="H3" s="88" t="n"/>
      <c r="I3" s="88" t="n"/>
      <c r="J3" s="88" t="n"/>
      <c r="K3" s="88" t="n"/>
      <c r="L3" s="88" t="n"/>
      <c r="M3" s="88" t="n"/>
      <c r="N3" s="88" t="n"/>
      <c r="O3" s="88" t="n"/>
      <c r="P3" s="88" t="n"/>
      <c r="Q3" s="88" t="n"/>
      <c r="R3" s="88" t="n"/>
      <c r="S3" s="88" t="n"/>
      <c r="T3" s="43" t="n"/>
      <c r="U3" s="43" t="n"/>
      <c r="V3" s="43" t="n"/>
      <c r="W3" s="43" t="n"/>
      <c r="X3" s="43" t="n"/>
      <c r="Y3" s="43" t="n"/>
      <c r="Z3" s="43" t="n"/>
      <c r="AA3" s="43" t="n"/>
      <c r="AB3" s="43" t="n"/>
      <c r="AC3" s="43" t="n"/>
      <c r="AD3" s="43" t="n"/>
      <c r="AE3" s="5" t="n"/>
      <c r="AF3" s="5" t="n"/>
    </row>
    <row r="4">
      <c r="A4" s="87" t="n"/>
      <c r="B4" s="88" t="n"/>
      <c r="C4" s="88" t="n"/>
      <c r="D4" s="88" t="n"/>
      <c r="E4" s="88" t="n"/>
      <c r="F4" s="88" t="n"/>
      <c r="G4" s="88" t="n"/>
      <c r="H4" s="88" t="n"/>
      <c r="I4" s="88" t="n"/>
      <c r="J4" s="88" t="n"/>
      <c r="K4" s="88" t="n"/>
      <c r="L4" s="88" t="n"/>
      <c r="M4" s="88" t="n"/>
      <c r="N4" s="88" t="n"/>
      <c r="O4" s="88" t="n"/>
      <c r="P4" s="88" t="n"/>
      <c r="Q4" s="88" t="n"/>
      <c r="R4" s="88" t="n"/>
      <c r="S4" s="88" t="n"/>
      <c r="T4" s="43" t="n"/>
      <c r="U4" s="43" t="n"/>
      <c r="V4" s="43" t="n"/>
      <c r="W4" s="43" t="n"/>
      <c r="X4" s="43" t="n"/>
      <c r="Y4" s="43" t="n"/>
      <c r="Z4" s="43" t="n"/>
      <c r="AA4" s="43" t="n"/>
      <c r="AB4" s="43" t="n"/>
      <c r="AC4" s="43" t="n"/>
      <c r="AD4" s="43" t="n"/>
      <c r="AE4" s="5" t="n"/>
      <c r="AF4" s="5" t="n"/>
    </row>
    <row r="5">
      <c r="A5" s="87" t="n"/>
      <c r="B5" s="88" t="n"/>
      <c r="C5" s="88" t="n"/>
      <c r="D5" s="88" t="n"/>
      <c r="E5" s="88" t="n"/>
      <c r="F5" s="88" t="n"/>
      <c r="G5" s="88" t="n"/>
      <c r="H5" s="88" t="n"/>
      <c r="I5" s="88" t="n"/>
      <c r="J5" s="88" t="n"/>
      <c r="K5" s="88" t="n"/>
      <c r="L5" s="88" t="n"/>
      <c r="M5" s="88" t="n"/>
      <c r="N5" s="88" t="n"/>
      <c r="O5" s="88" t="n"/>
      <c r="P5" s="88" t="n"/>
      <c r="Q5" s="88" t="n"/>
      <c r="R5" s="88" t="n"/>
      <c r="S5" s="88" t="n"/>
      <c r="T5" s="43" t="n"/>
      <c r="U5" s="43" t="n"/>
      <c r="V5" s="43" t="n"/>
      <c r="W5" s="43" t="n"/>
      <c r="X5" s="43" t="n"/>
      <c r="Y5" s="43" t="n"/>
      <c r="Z5" s="43" t="n"/>
      <c r="AA5" s="43" t="n"/>
      <c r="AB5" s="43" t="n"/>
      <c r="AC5" s="43" t="n"/>
      <c r="AD5" s="43" t="n"/>
      <c r="AE5" s="5" t="n"/>
      <c r="AF5" s="5" t="n"/>
    </row>
    <row r="6">
      <c r="A6" s="87" t="n"/>
      <c r="B6" s="88" t="n"/>
      <c r="C6" s="88" t="n"/>
      <c r="D6" s="88" t="n"/>
      <c r="E6" s="88" t="n"/>
      <c r="F6" s="88" t="n"/>
      <c r="G6" s="88" t="n"/>
      <c r="H6" s="88" t="n"/>
      <c r="I6" s="88" t="n"/>
      <c r="J6" s="88" t="n"/>
      <c r="K6" s="88" t="n"/>
      <c r="L6" s="88" t="n"/>
      <c r="M6" s="88" t="n"/>
      <c r="N6" s="88" t="n"/>
      <c r="O6" s="88" t="n"/>
      <c r="P6" s="88" t="n"/>
      <c r="Q6" s="88" t="n"/>
      <c r="R6" s="88" t="n"/>
      <c r="S6" s="88" t="n"/>
      <c r="T6" s="43" t="n"/>
      <c r="U6" s="43" t="n"/>
      <c r="V6" s="43" t="n"/>
      <c r="W6" s="43" t="n"/>
      <c r="X6" s="43" t="n"/>
      <c r="Y6" s="43" t="n"/>
      <c r="Z6" s="43" t="n"/>
      <c r="AA6" s="43" t="n"/>
      <c r="AB6" s="43" t="n"/>
      <c r="AC6" s="43" t="n"/>
      <c r="AD6" s="43" t="n"/>
      <c r="AE6" s="5" t="n"/>
      <c r="AF6" s="5" t="n"/>
    </row>
    <row r="7">
      <c r="A7" s="87" t="n"/>
      <c r="B7" s="88" t="n"/>
      <c r="C7" s="88" t="n"/>
      <c r="D7" s="88" t="n"/>
      <c r="E7" s="88" t="n"/>
      <c r="F7" s="88" t="n"/>
      <c r="G7" s="88" t="n"/>
      <c r="H7" s="88" t="n"/>
      <c r="I7" s="88" t="n"/>
      <c r="J7" s="88" t="n"/>
      <c r="K7" s="88" t="n"/>
      <c r="L7" s="88" t="n"/>
      <c r="M7" s="88" t="n"/>
      <c r="N7" s="88" t="n"/>
      <c r="O7" s="88" t="n"/>
      <c r="P7" s="88" t="n"/>
      <c r="Q7" s="88" t="n"/>
      <c r="R7" s="88" t="n"/>
      <c r="S7" s="88" t="n"/>
      <c r="T7" s="43" t="n"/>
      <c r="U7" s="43" t="n"/>
      <c r="V7" s="43" t="n"/>
      <c r="W7" s="43" t="n"/>
      <c r="X7" s="43" t="n"/>
      <c r="Y7" s="43" t="n"/>
      <c r="Z7" s="43" t="n"/>
      <c r="AA7" s="43" t="n"/>
      <c r="AB7" s="43" t="n"/>
      <c r="AC7" s="43" t="n"/>
      <c r="AD7" s="43" t="n"/>
      <c r="AE7" s="5" t="n"/>
      <c r="AF7" s="5" t="n"/>
    </row>
    <row r="8">
      <c r="A8" s="87" t="n"/>
      <c r="B8" s="88" t="n"/>
      <c r="C8" s="88" t="n"/>
      <c r="D8" s="88" t="n"/>
      <c r="E8" s="88" t="n"/>
      <c r="F8" s="88" t="n"/>
      <c r="G8" s="88" t="n"/>
      <c r="H8" s="88" t="n"/>
      <c r="I8" s="88" t="n"/>
      <c r="J8" s="88" t="n"/>
      <c r="K8" s="88" t="n"/>
      <c r="L8" s="88" t="n"/>
      <c r="M8" s="88" t="n"/>
      <c r="N8" s="88" t="n"/>
      <c r="O8" s="88" t="n"/>
      <c r="P8" s="88" t="n"/>
      <c r="Q8" s="88" t="n"/>
      <c r="R8" s="88" t="n"/>
      <c r="S8" s="88" t="n"/>
      <c r="T8" s="43" t="n"/>
      <c r="U8" s="43" t="n"/>
      <c r="V8" s="43" t="n"/>
      <c r="W8" s="43" t="n"/>
      <c r="X8" s="43" t="n"/>
      <c r="Y8" s="43" t="n"/>
      <c r="Z8" s="43" t="n"/>
      <c r="AA8" s="43" t="n"/>
      <c r="AB8" s="43" t="n"/>
      <c r="AC8" s="43" t="n"/>
      <c r="AD8" s="43" t="n"/>
    </row>
    <row r="9">
      <c r="A9" s="43" t="n"/>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3" t="n"/>
      <c r="Y9" s="43" t="n"/>
      <c r="Z9" s="43" t="n"/>
      <c r="AA9" s="43" t="n"/>
      <c r="AB9" s="43" t="n"/>
      <c r="AC9" s="43" t="n"/>
      <c r="AD9" s="43" t="n"/>
    </row>
    <row r="10">
      <c r="A10" s="4" t="n"/>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row>
    <row r="11">
      <c r="A11" s="4"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row>
    <row r="12">
      <c r="A12" s="4" t="n"/>
      <c r="D12" s="11" t="n"/>
    </row>
    <row r="13">
      <c r="A13" s="4" t="n"/>
      <c r="D13" s="11" t="n"/>
    </row>
    <row r="14">
      <c r="A14" s="4" t="n"/>
      <c r="D14" s="11" t="n"/>
    </row>
    <row r="15">
      <c r="A15" s="4" t="n"/>
      <c r="D15" s="11" t="n"/>
    </row>
    <row r="16">
      <c r="A16" s="4" t="n"/>
      <c r="D16" s="11" t="n"/>
    </row>
    <row r="17">
      <c r="A17" s="4" t="n"/>
      <c r="D17" s="11" t="n"/>
    </row>
    <row r="18">
      <c r="A18" s="4" t="n"/>
      <c r="D18" s="11" t="n"/>
    </row>
    <row r="19">
      <c r="A19" s="4" t="n"/>
      <c r="D19" s="11" t="n"/>
    </row>
    <row r="20">
      <c r="A20" s="4" t="n"/>
      <c r="D20" s="11" t="n"/>
    </row>
    <row r="21">
      <c r="A21" s="4" t="n"/>
      <c r="D21" s="11" t="n"/>
    </row>
    <row r="22">
      <c r="A22" s="4" t="n"/>
      <c r="D22" s="11" t="n"/>
    </row>
    <row r="23">
      <c r="A23" s="4" t="n"/>
      <c r="D23" s="11" t="n"/>
    </row>
    <row r="24">
      <c r="A24" s="4" t="n"/>
      <c r="D24" s="11" t="n"/>
    </row>
    <row r="25">
      <c r="A25" s="4" t="n"/>
      <c r="D25" s="11" t="n"/>
    </row>
    <row r="26">
      <c r="A26" s="4" t="n"/>
      <c r="B26" s="18" t="n"/>
      <c r="C26" s="18" t="n"/>
      <c r="D26" s="18" t="n"/>
      <c r="E26" s="18" t="n"/>
      <c r="F26" s="18" t="n"/>
      <c r="G26" s="18" t="n"/>
      <c r="H26" s="18" t="n"/>
      <c r="I26" s="18" t="n"/>
      <c r="J26" s="18" t="n"/>
      <c r="K26" s="18" t="n"/>
      <c r="L26" s="18" t="n"/>
    </row>
    <row r="27">
      <c r="A27" s="4" t="n"/>
      <c r="B27" s="5" t="n"/>
      <c r="C27" s="5" t="n"/>
      <c r="D27" s="5" t="n"/>
      <c r="E27" s="5" t="n"/>
      <c r="F27" s="5" t="n"/>
      <c r="G27" s="5" t="n"/>
      <c r="H27" s="5" t="n"/>
      <c r="I27" s="5" t="n"/>
      <c r="J27" s="5" t="n"/>
      <c r="K27" s="5" t="n"/>
      <c r="L27" s="5" t="n"/>
      <c r="M27" s="18" t="n"/>
      <c r="N27" s="18" t="n"/>
      <c r="O27" s="18" t="n"/>
      <c r="P27" s="18" t="n"/>
      <c r="Q27" s="18" t="n"/>
      <c r="R27" s="18" t="n"/>
      <c r="S27" s="18" t="n"/>
      <c r="T27" s="18" t="n"/>
      <c r="U27" s="18" t="n"/>
      <c r="V27" s="18" t="n"/>
      <c r="W27" s="18" t="n"/>
      <c r="X27" s="18" t="n"/>
      <c r="Y27" s="18" t="n"/>
      <c r="Z27" s="18" t="n"/>
      <c r="AA27" s="18" t="n"/>
      <c r="AB27" s="18" t="n"/>
      <c r="AC27" s="18" t="n"/>
      <c r="AD27" s="18" t="n"/>
      <c r="AE27" s="18" t="n"/>
      <c r="AF27" s="18" t="n"/>
    </row>
    <row r="28">
      <c r="A28" s="4" t="n"/>
      <c r="B28" s="5" t="n"/>
      <c r="C28" s="5" t="n"/>
      <c r="D28" s="5" t="n"/>
      <c r="E28" s="5" t="n"/>
      <c r="F28" s="5" t="n"/>
      <c r="G28" s="5" t="n"/>
      <c r="H28" s="5" t="n"/>
      <c r="I28" s="5" t="n"/>
      <c r="J28" s="5" t="n"/>
      <c r="K28" s="5" t="n"/>
      <c r="L28" s="5" t="n"/>
      <c r="M28" s="4" t="n"/>
      <c r="N28" s="4" t="n"/>
      <c r="O28" s="4" t="n"/>
      <c r="P28" s="4" t="n"/>
      <c r="Q28" s="4" t="n"/>
      <c r="R28" s="4" t="n"/>
      <c r="S28" s="4" t="n"/>
      <c r="T28" s="4" t="n"/>
      <c r="U28" s="4" t="n"/>
      <c r="V28" s="4" t="n"/>
      <c r="W28" s="4" t="n"/>
      <c r="X28" s="4" t="n"/>
      <c r="Y28" s="4" t="n"/>
      <c r="Z28" s="4" t="n"/>
      <c r="AA28" s="4" t="n"/>
      <c r="AB28" s="4" t="n"/>
      <c r="AC28" s="4" t="n"/>
    </row>
    <row r="29">
      <c r="A29" s="4" t="n"/>
      <c r="B29" s="5"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5" t="n"/>
      <c r="AC29" s="5" t="n"/>
    </row>
    <row r="30">
      <c r="A30" s="4" t="n"/>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row>
    <row r="31">
      <c r="A31" s="4"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c r="AA31" s="5" t="n"/>
      <c r="AB31" s="5" t="n"/>
      <c r="AC31" s="5" t="n"/>
    </row>
    <row r="32">
      <c r="A32" s="4" t="n"/>
      <c r="B32" s="5"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c r="AA32" s="5" t="n"/>
      <c r="AB32" s="5" t="n"/>
      <c r="AC32" s="5" t="n"/>
    </row>
    <row r="33">
      <c r="A33" s="4" t="n"/>
      <c r="B33" s="5"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c r="AA33" s="5" t="n"/>
      <c r="AB33" s="5" t="n"/>
      <c r="AC33" s="5" t="n"/>
    </row>
    <row r="34">
      <c r="A34" s="4" t="n"/>
      <c r="B34" s="5"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c r="AA34" s="5" t="n"/>
      <c r="AB34" s="5" t="n"/>
      <c r="AC34" s="5" t="n"/>
    </row>
    <row r="35">
      <c r="A35" s="4" t="n"/>
      <c r="B35" s="5"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c r="AA35" s="5" t="n"/>
      <c r="AB35" s="5" t="n"/>
      <c r="AC35" s="5" t="n"/>
    </row>
    <row r="36">
      <c r="B36" s="5"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c r="AA36" s="5" t="n"/>
      <c r="AB36" s="5" t="n"/>
      <c r="AC36" s="5" t="n"/>
    </row>
    <row r="37">
      <c r="B37" s="5"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c r="AA37" s="5" t="n"/>
      <c r="AB37" s="5" t="n"/>
      <c r="AC37" s="5" t="n"/>
    </row>
    <row r="38">
      <c r="B38" s="5"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c r="AA38" s="5" t="n"/>
      <c r="AB38" s="5" t="n"/>
      <c r="AC38" s="5" t="n"/>
    </row>
    <row r="39">
      <c r="B39" s="5"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c r="AA39" s="5" t="n"/>
      <c r="AB39" s="5" t="n"/>
      <c r="AC39" s="5" t="n"/>
    </row>
    <row r="40">
      <c r="B40" s="5"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c r="AA40" s="5" t="n"/>
      <c r="AB40" s="5" t="n"/>
      <c r="AC40" s="5" t="n"/>
    </row>
    <row r="41">
      <c r="B41" s="5"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c r="AA41" s="5" t="n"/>
      <c r="AB41" s="5" t="n"/>
      <c r="AC41" s="5" t="n"/>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F32"/>
  <sheetViews>
    <sheetView workbookViewId="0">
      <selection activeCell="J32" sqref="J32"/>
    </sheetView>
  </sheetViews>
  <sheetFormatPr baseColWidth="8" defaultRowHeight="15"/>
  <cols>
    <col width="18" customWidth="1" min="1" max="1"/>
  </cols>
  <sheetData>
    <row r="1">
      <c r="A1" s="87" t="n"/>
      <c r="B1" s="87" t="n"/>
      <c r="C1" s="87" t="n"/>
      <c r="D1" s="87" t="n"/>
      <c r="E1" s="87" t="n"/>
      <c r="F1" s="87" t="n"/>
    </row>
    <row r="2">
      <c r="A2" s="90" t="n"/>
      <c r="B2" s="88" t="n"/>
      <c r="C2" s="88" t="n"/>
      <c r="D2" s="88" t="n"/>
      <c r="E2" s="88" t="n"/>
      <c r="F2" s="88" t="n"/>
    </row>
    <row r="3">
      <c r="A3" s="90" t="n"/>
      <c r="B3" s="88" t="n"/>
      <c r="C3" s="88" t="n"/>
      <c r="D3" s="88" t="n"/>
      <c r="E3" s="88" t="n"/>
      <c r="F3" s="88" t="n"/>
    </row>
    <row r="4">
      <c r="A4" s="90" t="n"/>
      <c r="B4" s="88" t="n"/>
      <c r="C4" s="88" t="n"/>
      <c r="D4" s="88" t="n"/>
      <c r="E4" s="88" t="n"/>
      <c r="F4" s="88" t="n"/>
    </row>
    <row r="5">
      <c r="A5" s="90" t="n"/>
      <c r="B5" s="88" t="n"/>
      <c r="C5" s="88" t="n"/>
      <c r="D5" s="88" t="n"/>
      <c r="E5" s="88" t="n"/>
      <c r="F5" s="88" t="n"/>
    </row>
    <row r="6">
      <c r="A6" s="90" t="n"/>
      <c r="B6" s="88" t="n"/>
      <c r="C6" s="88" t="n"/>
      <c r="D6" s="88" t="n"/>
      <c r="E6" s="88" t="n"/>
      <c r="F6" s="88" t="n"/>
    </row>
    <row r="7">
      <c r="A7" s="90" t="n"/>
      <c r="B7" s="88" t="n"/>
      <c r="C7" s="88" t="n"/>
      <c r="D7" s="88" t="n"/>
      <c r="E7" s="88" t="n"/>
      <c r="F7" s="88" t="n"/>
    </row>
    <row r="8">
      <c r="A8" s="90" t="n"/>
      <c r="B8" s="88" t="n"/>
      <c r="C8" s="88" t="n"/>
      <c r="D8" s="88" t="n"/>
      <c r="E8" s="88" t="n"/>
      <c r="F8" s="88" t="n"/>
    </row>
    <row r="9">
      <c r="A9" s="90" t="n"/>
      <c r="B9" s="88" t="n"/>
      <c r="C9" s="88" t="n"/>
      <c r="D9" s="88" t="n"/>
      <c r="E9" s="88" t="n"/>
      <c r="F9" s="88" t="n"/>
    </row>
    <row r="10">
      <c r="A10" s="90" t="n"/>
      <c r="B10" s="88" t="n"/>
      <c r="C10" s="88" t="n"/>
      <c r="D10" s="88" t="n"/>
      <c r="E10" s="88" t="n"/>
      <c r="F10" s="88" t="n"/>
    </row>
    <row r="11">
      <c r="A11" s="90" t="n"/>
      <c r="B11" s="88" t="n"/>
      <c r="C11" s="88" t="n"/>
      <c r="D11" s="88" t="n"/>
      <c r="E11" s="88" t="n"/>
      <c r="F11" s="88" t="n"/>
    </row>
    <row r="12">
      <c r="A12" s="90" t="n"/>
      <c r="B12" s="88" t="n"/>
      <c r="C12" s="88" t="n"/>
      <c r="D12" s="88" t="n"/>
      <c r="E12" s="88" t="n"/>
      <c r="F12" s="88" t="n"/>
    </row>
    <row r="13">
      <c r="A13" s="90" t="n"/>
      <c r="B13" s="88" t="n"/>
      <c r="C13" s="88" t="n"/>
      <c r="D13" s="88" t="n"/>
      <c r="E13" s="88" t="n"/>
      <c r="F13" s="88" t="n"/>
    </row>
    <row r="14">
      <c r="A14" s="90" t="n"/>
      <c r="B14" s="88" t="n"/>
      <c r="C14" s="88" t="n"/>
      <c r="D14" s="88" t="n"/>
      <c r="E14" s="88" t="n"/>
      <c r="F14" s="88" t="n"/>
    </row>
    <row r="15">
      <c r="A15" s="90" t="n"/>
      <c r="B15" s="88" t="n"/>
      <c r="C15" s="88" t="n"/>
      <c r="D15" s="88" t="n"/>
      <c r="E15" s="88" t="n"/>
      <c r="F15" s="88" t="n"/>
    </row>
    <row r="16">
      <c r="A16" s="90" t="n"/>
      <c r="B16" s="88" t="n"/>
      <c r="C16" s="88" t="n"/>
      <c r="D16" s="88" t="n"/>
      <c r="E16" s="88" t="n"/>
      <c r="F16" s="88" t="n"/>
    </row>
    <row r="17">
      <c r="A17" s="90" t="n"/>
      <c r="B17" s="88" t="n"/>
      <c r="C17" s="88" t="n"/>
      <c r="D17" s="88" t="n"/>
      <c r="E17" s="88" t="n"/>
      <c r="F17" s="88" t="n"/>
    </row>
    <row r="18">
      <c r="A18" s="90" t="n"/>
      <c r="B18" s="88" t="n"/>
      <c r="C18" s="88" t="n"/>
      <c r="D18" s="88" t="n"/>
      <c r="E18" s="88" t="n"/>
      <c r="F18" s="88" t="n"/>
    </row>
    <row r="19">
      <c r="A19" s="90" t="n"/>
      <c r="B19" s="88" t="n"/>
      <c r="C19" s="88" t="n"/>
      <c r="D19" s="88" t="n"/>
      <c r="E19" s="88" t="n"/>
      <c r="F19" s="88" t="n"/>
    </row>
    <row r="20">
      <c r="A20" s="90" t="n"/>
      <c r="B20" s="88" t="n"/>
      <c r="C20" s="88" t="n"/>
      <c r="D20" s="88" t="n"/>
      <c r="E20" s="88" t="n"/>
      <c r="F20" s="88" t="n"/>
    </row>
    <row r="21">
      <c r="A21" s="90" t="n"/>
      <c r="B21" s="88" t="n"/>
      <c r="C21" s="88" t="n"/>
      <c r="D21" s="88" t="n"/>
      <c r="E21" s="88" t="n"/>
      <c r="F21" s="88" t="n"/>
    </row>
    <row r="22">
      <c r="A22" s="90" t="n"/>
      <c r="B22" s="88" t="n"/>
      <c r="C22" s="88" t="n"/>
      <c r="D22" s="88" t="n"/>
      <c r="E22" s="88" t="n"/>
      <c r="F22" s="88" t="n"/>
    </row>
    <row r="23">
      <c r="A23" s="90" t="n"/>
      <c r="B23" s="88" t="n"/>
      <c r="C23" s="88" t="n"/>
      <c r="D23" s="88" t="n"/>
      <c r="E23" s="88" t="n"/>
      <c r="F23" s="88" t="n"/>
    </row>
    <row r="24">
      <c r="A24" s="90" t="n"/>
      <c r="B24" s="88" t="n"/>
      <c r="C24" s="88" t="n"/>
      <c r="D24" s="88" t="n"/>
      <c r="E24" s="88" t="n"/>
      <c r="F24" s="88" t="n"/>
    </row>
    <row r="25">
      <c r="A25" s="90" t="n"/>
      <c r="B25" s="88" t="n"/>
      <c r="C25" s="88" t="n"/>
      <c r="D25" s="88" t="n"/>
      <c r="E25" s="88" t="n"/>
      <c r="F25" s="88" t="n"/>
    </row>
    <row r="26">
      <c r="A26" s="94" t="n"/>
      <c r="B26" s="87" t="n"/>
      <c r="C26" s="87" t="n"/>
      <c r="D26" s="87" t="n"/>
      <c r="E26" s="87" t="n"/>
      <c r="F26" s="87" t="n"/>
    </row>
    <row r="27">
      <c r="A27" s="90" t="n"/>
      <c r="B27" s="88" t="n"/>
      <c r="C27" s="88" t="n"/>
      <c r="D27" s="88" t="n"/>
      <c r="E27" s="88" t="n"/>
      <c r="F27" s="88" t="n"/>
    </row>
    <row r="28">
      <c r="A28" s="90" t="n"/>
      <c r="B28" s="88" t="n"/>
      <c r="C28" s="88" t="n"/>
      <c r="D28" s="88" t="n"/>
      <c r="E28" s="88" t="n"/>
      <c r="F28" s="88" t="n"/>
    </row>
    <row r="29">
      <c r="A29" s="90" t="n"/>
      <c r="B29" s="88" t="n"/>
      <c r="C29" s="88" t="n"/>
      <c r="D29" s="88" t="n"/>
      <c r="E29" s="88" t="n"/>
      <c r="F29" s="88" t="n"/>
    </row>
    <row r="30">
      <c r="A30" s="90" t="n"/>
      <c r="B30" s="88" t="n"/>
      <c r="C30" s="88" t="n"/>
      <c r="D30" s="88" t="n"/>
      <c r="E30" s="88" t="n"/>
      <c r="F30" s="88" t="n"/>
    </row>
    <row r="31">
      <c r="A31" s="90" t="n"/>
      <c r="B31" s="88" t="n"/>
      <c r="C31" s="88" t="n"/>
      <c r="D31" s="88" t="n"/>
      <c r="E31" s="88" t="n"/>
      <c r="F31" s="88" t="n"/>
    </row>
    <row r="32">
      <c r="A32" s="90" t="n"/>
      <c r="B32" s="88" t="n"/>
      <c r="C32" s="88" t="n"/>
      <c r="D32" s="88" t="n"/>
      <c r="E32" s="88" t="n"/>
      <c r="F32" s="88" t="n"/>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J37"/>
  <sheetViews>
    <sheetView workbookViewId="0">
      <selection activeCell="J23" sqref="J23"/>
    </sheetView>
  </sheetViews>
  <sheetFormatPr baseColWidth="8" defaultRowHeight="15"/>
  <cols>
    <col width="14.5703125" customWidth="1" min="1" max="1"/>
  </cols>
  <sheetData>
    <row r="1">
      <c r="A1" s="77" t="n"/>
      <c r="B1" s="41" t="n"/>
      <c r="C1" s="41" t="n"/>
      <c r="D1" s="78" t="n"/>
      <c r="E1" s="51" t="n"/>
      <c r="F1" s="51" t="n"/>
    </row>
    <row r="2">
      <c r="A2" s="85" t="n"/>
      <c r="B2" s="42" t="n"/>
      <c r="C2" s="42" t="n"/>
      <c r="D2" s="80" t="n"/>
      <c r="E2" s="51" t="n"/>
      <c r="F2" s="51" t="n"/>
    </row>
    <row r="3">
      <c r="A3" s="85" t="n"/>
      <c r="B3" s="42" t="n"/>
      <c r="C3" s="42" t="n"/>
      <c r="D3" s="80" t="n"/>
      <c r="E3" s="51" t="n"/>
      <c r="F3" s="51" t="n"/>
    </row>
    <row r="4">
      <c r="A4" s="85" t="n"/>
      <c r="B4" s="42" t="n"/>
      <c r="C4" s="42" t="n"/>
      <c r="D4" s="80" t="n"/>
      <c r="E4" s="51" t="n"/>
      <c r="F4" s="51" t="n"/>
    </row>
    <row r="5">
      <c r="A5" s="85" t="n"/>
      <c r="B5" s="42" t="n"/>
      <c r="C5" s="42" t="n"/>
      <c r="D5" s="80" t="n"/>
      <c r="E5" s="51" t="n"/>
      <c r="F5" s="51" t="n"/>
    </row>
    <row r="6">
      <c r="A6" s="85" t="n"/>
      <c r="B6" s="42" t="n"/>
      <c r="C6" s="42" t="n"/>
      <c r="D6" s="80" t="n"/>
      <c r="E6" s="51" t="n"/>
      <c r="F6" s="51" t="n"/>
    </row>
    <row r="7">
      <c r="A7" s="85" t="n"/>
      <c r="B7" s="42" t="n"/>
      <c r="C7" s="42" t="n"/>
      <c r="D7" s="80" t="n"/>
      <c r="E7" s="51" t="n"/>
      <c r="F7" s="51" t="n"/>
    </row>
    <row r="8">
      <c r="A8" s="85" t="n"/>
      <c r="B8" s="42" t="n"/>
      <c r="C8" s="42" t="n"/>
      <c r="D8" s="80" t="n"/>
      <c r="E8" s="51" t="n"/>
      <c r="F8" s="51" t="n"/>
    </row>
    <row r="9">
      <c r="A9" s="85" t="n"/>
      <c r="B9" s="42" t="n"/>
      <c r="C9" s="42" t="n"/>
      <c r="D9" s="80" t="n"/>
      <c r="E9" s="51" t="n"/>
      <c r="F9" s="51" t="n"/>
    </row>
    <row r="10">
      <c r="A10" s="85" t="n"/>
      <c r="B10" s="42" t="n"/>
      <c r="C10" s="42" t="n"/>
      <c r="D10" s="80" t="n"/>
      <c r="E10" s="51" t="n"/>
      <c r="F10" s="51" t="n"/>
    </row>
    <row r="11">
      <c r="A11" s="85" t="n"/>
      <c r="B11" s="42" t="n"/>
      <c r="C11" s="42" t="n"/>
      <c r="D11" s="80" t="n"/>
      <c r="E11" s="51" t="n"/>
      <c r="F11" s="51" t="n"/>
    </row>
    <row r="12">
      <c r="A12" s="85" t="n"/>
      <c r="B12" s="42" t="n"/>
      <c r="C12" s="42" t="n"/>
      <c r="D12" s="80" t="n"/>
      <c r="E12" s="51" t="n"/>
      <c r="F12" s="51" t="n"/>
    </row>
    <row r="13">
      <c r="A13" s="85" t="n"/>
      <c r="B13" s="42" t="n"/>
      <c r="C13" s="42" t="n"/>
      <c r="D13" s="80" t="n"/>
      <c r="E13" s="51" t="n"/>
      <c r="F13" s="51" t="n"/>
    </row>
    <row r="14">
      <c r="A14" s="85" t="n"/>
      <c r="B14" s="42" t="n"/>
      <c r="C14" s="42" t="n"/>
      <c r="D14" s="80" t="n"/>
      <c r="E14" s="51" t="n"/>
      <c r="F14" s="51" t="n"/>
    </row>
    <row r="15">
      <c r="A15" s="85" t="n"/>
      <c r="B15" s="42" t="n"/>
      <c r="C15" s="42" t="n"/>
      <c r="D15" s="80" t="n"/>
      <c r="E15" s="51" t="n"/>
      <c r="F15" s="51" t="n"/>
    </row>
    <row r="16">
      <c r="A16" s="85" t="n"/>
      <c r="B16" s="42" t="n"/>
      <c r="C16" s="42" t="n"/>
      <c r="D16" s="80" t="n"/>
      <c r="E16" s="51" t="n"/>
      <c r="F16" s="51" t="n"/>
    </row>
    <row r="17">
      <c r="A17" s="85" t="n"/>
      <c r="B17" s="42" t="n"/>
      <c r="C17" s="42" t="n"/>
      <c r="D17" s="80" t="n"/>
      <c r="E17" s="51" t="n"/>
      <c r="F17" s="51" t="n"/>
    </row>
    <row r="18">
      <c r="A18" s="85" t="n"/>
      <c r="B18" s="42" t="n"/>
      <c r="C18" s="42" t="n"/>
      <c r="D18" s="80" t="n"/>
      <c r="E18" s="51" t="n"/>
      <c r="F18" s="51" t="n"/>
    </row>
    <row r="19">
      <c r="A19" s="85" t="n"/>
      <c r="B19" s="42" t="n"/>
      <c r="C19" s="42" t="n"/>
      <c r="D19" s="80" t="n"/>
      <c r="E19" s="51" t="n"/>
      <c r="F19" s="51" t="n"/>
    </row>
    <row r="20">
      <c r="A20" s="85" t="n"/>
      <c r="B20" s="42" t="n"/>
      <c r="C20" s="42" t="n"/>
      <c r="D20" s="80" t="n"/>
      <c r="E20" s="51" t="n"/>
      <c r="F20" s="51" t="n"/>
    </row>
    <row r="21">
      <c r="A21" s="85" t="n"/>
      <c r="B21" s="42" t="n"/>
      <c r="C21" s="42" t="n"/>
      <c r="D21" s="80" t="n"/>
      <c r="E21" s="51" t="n"/>
      <c r="F21" s="51" t="n"/>
    </row>
    <row r="22">
      <c r="A22" s="85" t="n"/>
      <c r="B22" s="42" t="n"/>
      <c r="C22" s="42" t="n"/>
      <c r="D22" s="80" t="n"/>
      <c r="E22" s="51" t="n"/>
      <c r="F22" s="51" t="n"/>
    </row>
    <row r="23">
      <c r="A23" s="85" t="n"/>
      <c r="B23" s="42" t="n"/>
      <c r="C23" s="42" t="n"/>
      <c r="D23" s="80" t="n"/>
      <c r="E23" s="51" t="n"/>
      <c r="F23" s="51" t="n"/>
    </row>
    <row r="24">
      <c r="A24" s="85" t="n"/>
      <c r="B24" s="42" t="n"/>
      <c r="C24" s="42" t="n"/>
      <c r="D24" s="80" t="n"/>
      <c r="E24" s="51" t="n"/>
      <c r="F24" s="51" t="n"/>
    </row>
    <row r="25">
      <c r="A25" s="85" t="n"/>
      <c r="B25" s="42" t="n"/>
      <c r="C25" s="42" t="n"/>
      <c r="D25" s="80" t="n"/>
      <c r="E25" s="51" t="n"/>
      <c r="F25" s="51" t="n"/>
    </row>
    <row r="26">
      <c r="A26" s="85" t="n"/>
      <c r="B26" s="42" t="n"/>
      <c r="C26" s="42" t="n"/>
      <c r="D26" s="80" t="n"/>
      <c r="E26" s="51" t="n"/>
      <c r="F26" s="51" t="n"/>
    </row>
    <row r="27">
      <c r="A27" s="85" t="n"/>
      <c r="B27" s="42" t="n"/>
      <c r="C27" s="42" t="n"/>
      <c r="D27" s="80" t="n"/>
      <c r="E27" s="51" t="n"/>
      <c r="F27" s="51" t="n"/>
    </row>
    <row r="28">
      <c r="A28" s="85" t="n"/>
      <c r="B28" s="42" t="n"/>
      <c r="C28" s="42" t="n"/>
      <c r="D28" s="80" t="n"/>
      <c r="E28" s="51" t="n"/>
      <c r="F28" s="51" t="n"/>
    </row>
    <row r="29">
      <c r="A29" s="85" t="n"/>
      <c r="B29" s="42" t="n"/>
      <c r="C29" s="42" t="n"/>
      <c r="D29" s="80" t="n"/>
      <c r="E29" s="51" t="n"/>
      <c r="F29" s="51" t="n"/>
    </row>
    <row r="30">
      <c r="A30" s="85" t="n"/>
      <c r="B30" s="42" t="n"/>
      <c r="C30" s="42" t="n"/>
      <c r="D30" s="80" t="n"/>
      <c r="E30" s="51" t="n"/>
      <c r="F30" s="51" t="n"/>
    </row>
    <row r="31">
      <c r="A31" s="85" t="n"/>
      <c r="B31" s="42" t="n"/>
      <c r="C31" s="42" t="n"/>
      <c r="D31" s="80" t="n"/>
      <c r="E31" s="51" t="n"/>
      <c r="F31" s="51" t="n"/>
    </row>
    <row r="32">
      <c r="A32" s="86" t="n"/>
      <c r="B32" s="84" t="n"/>
      <c r="C32" s="84" t="n"/>
      <c r="D32" s="82" t="n"/>
      <c r="E32" s="51" t="n"/>
      <c r="F32" s="51" t="n"/>
    </row>
    <row r="33">
      <c r="A33" s="51" t="n"/>
      <c r="B33" s="51" t="n"/>
      <c r="C33" s="51" t="n"/>
      <c r="D33" s="51" t="n"/>
      <c r="E33" s="51" t="n"/>
      <c r="F33" s="51" t="n"/>
      <c r="J33" s="15" t="n"/>
    </row>
    <row r="34">
      <c r="A34" s="51" t="n"/>
      <c r="B34" s="51" t="n"/>
      <c r="C34" s="51" t="n"/>
      <c r="D34" s="51" t="n"/>
      <c r="E34" s="51" t="n"/>
      <c r="F34" s="51" t="n"/>
    </row>
    <row r="35">
      <c r="A35" s="51" t="n"/>
      <c r="B35" s="51" t="n"/>
      <c r="C35" s="51" t="n"/>
      <c r="D35" s="51" t="n"/>
      <c r="E35" s="51" t="n"/>
      <c r="F35" s="51" t="n"/>
    </row>
    <row r="36">
      <c r="A36" s="51" t="n"/>
      <c r="B36" s="51" t="n"/>
      <c r="C36" s="51" t="n"/>
      <c r="D36" s="51" t="n"/>
      <c r="E36" s="51" t="n"/>
      <c r="F36" s="51" t="n"/>
    </row>
    <row r="37">
      <c r="A37" s="51" t="n"/>
      <c r="B37" s="51" t="n"/>
      <c r="C37" s="51" t="n"/>
      <c r="D37" s="51" t="n"/>
      <c r="E37" s="51" t="n"/>
      <c r="F37" s="51" t="n"/>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O33"/>
  <sheetViews>
    <sheetView workbookViewId="0">
      <selection activeCell="D36" sqref="D36"/>
    </sheetView>
  </sheetViews>
  <sheetFormatPr baseColWidth="8" defaultRowHeight="15"/>
  <cols>
    <col width="12.5703125" bestFit="1" customWidth="1" min="1" max="1"/>
    <col width="28.7109375" bestFit="1" customWidth="1" min="2" max="2"/>
    <col width="4.140625" bestFit="1" customWidth="1" min="3" max="3"/>
    <col width="32" bestFit="1" customWidth="1" min="4" max="4"/>
    <col width="4.140625" bestFit="1" customWidth="1" min="5" max="5"/>
    <col width="19.7109375" bestFit="1" customWidth="1" min="6" max="6"/>
    <col width="4.140625" bestFit="1" customWidth="1" min="7" max="7"/>
    <col width="21.5703125" bestFit="1" customWidth="1" min="8" max="8"/>
    <col width="4.140625" bestFit="1" customWidth="1" min="9" max="9"/>
    <col width="23.42578125" bestFit="1" customWidth="1" min="10" max="10"/>
    <col width="4.140625" bestFit="1" customWidth="1" min="11" max="11"/>
    <col width="10.85546875" bestFit="1" customWidth="1" min="12" max="12"/>
    <col width="4.140625" bestFit="1" customWidth="1" min="13" max="13"/>
    <col width="18.42578125" customWidth="1" min="14" max="14"/>
    <col width="24.85546875" customWidth="1" min="15" max="15"/>
  </cols>
  <sheetData>
    <row r="1">
      <c r="A1" s="87" t="n"/>
      <c r="B1" s="87" t="n"/>
      <c r="C1" s="87" t="n"/>
      <c r="D1" s="87" t="n"/>
      <c r="E1" s="87" t="n"/>
      <c r="F1" s="87" t="n"/>
      <c r="G1" s="87" t="n"/>
      <c r="H1" s="87" t="n"/>
      <c r="I1" s="87" t="n"/>
      <c r="J1" s="87" t="n"/>
      <c r="K1" s="87" t="n"/>
      <c r="L1" s="87" t="n"/>
      <c r="M1" s="87" t="n"/>
      <c r="N1" s="87" t="n"/>
      <c r="O1" s="87" t="n"/>
    </row>
    <row r="2">
      <c r="A2" s="90" t="n"/>
      <c r="B2" s="88" t="n"/>
      <c r="C2" s="88" t="n"/>
      <c r="D2" s="88" t="n"/>
      <c r="E2" s="88" t="n"/>
      <c r="F2" s="88" t="n"/>
      <c r="G2" s="88" t="n"/>
      <c r="H2" s="88" t="n"/>
      <c r="I2" s="88" t="n"/>
      <c r="J2" s="88" t="n"/>
      <c r="K2" s="88" t="n"/>
      <c r="L2" s="88" t="n"/>
      <c r="M2" s="88" t="n"/>
      <c r="N2" s="88" t="n"/>
      <c r="O2" s="88" t="n"/>
    </row>
    <row r="3">
      <c r="A3" s="90" t="n"/>
      <c r="B3" s="88" t="n"/>
      <c r="C3" s="88" t="n"/>
      <c r="D3" s="88" t="n"/>
      <c r="E3" s="88" t="n"/>
      <c r="F3" s="88" t="n"/>
      <c r="G3" s="88" t="n"/>
      <c r="H3" s="88" t="n"/>
      <c r="I3" s="88" t="n"/>
      <c r="J3" s="88" t="n"/>
      <c r="K3" s="88" t="n"/>
      <c r="L3" s="88" t="n"/>
      <c r="M3" s="88" t="n"/>
      <c r="N3" s="88" t="n"/>
      <c r="O3" s="88" t="n"/>
    </row>
    <row r="4">
      <c r="A4" s="90" t="n"/>
      <c r="B4" s="88" t="n"/>
      <c r="C4" s="88" t="n"/>
      <c r="D4" s="88" t="n"/>
      <c r="E4" s="88" t="n"/>
      <c r="F4" s="88" t="n"/>
      <c r="G4" s="88" t="n"/>
      <c r="H4" s="88" t="n"/>
      <c r="I4" s="88" t="n"/>
      <c r="J4" s="88" t="n"/>
      <c r="K4" s="88" t="n"/>
      <c r="L4" s="88" t="n"/>
      <c r="M4" s="88" t="n"/>
      <c r="N4" s="88" t="n"/>
      <c r="O4" s="88" t="n"/>
    </row>
    <row r="5">
      <c r="A5" s="90" t="n"/>
      <c r="B5" s="88" t="n"/>
      <c r="C5" s="88" t="n"/>
      <c r="D5" s="88" t="n"/>
      <c r="E5" s="88" t="n"/>
      <c r="F5" s="88" t="n"/>
      <c r="G5" s="88" t="n"/>
      <c r="H5" s="88" t="n"/>
      <c r="I5" s="88" t="n"/>
      <c r="J5" s="88" t="n"/>
      <c r="K5" s="88" t="n"/>
      <c r="L5" s="88" t="n"/>
      <c r="M5" s="88" t="n"/>
      <c r="N5" s="88" t="n"/>
      <c r="O5" s="88" t="n"/>
    </row>
    <row r="6">
      <c r="A6" s="90" t="n"/>
      <c r="B6" s="88" t="n"/>
      <c r="C6" s="88" t="n"/>
      <c r="D6" s="88" t="n"/>
      <c r="E6" s="88" t="n"/>
      <c r="F6" s="88" t="n"/>
      <c r="G6" s="88" t="n"/>
      <c r="H6" s="88" t="n"/>
      <c r="I6" s="88" t="n"/>
      <c r="J6" s="88" t="n"/>
      <c r="K6" s="88" t="n"/>
      <c r="L6" s="88" t="n"/>
      <c r="M6" s="88" t="n"/>
      <c r="N6" s="88" t="n"/>
      <c r="O6" s="88" t="n"/>
    </row>
    <row r="7">
      <c r="A7" s="90" t="n"/>
      <c r="B7" s="88" t="n"/>
      <c r="C7" s="88" t="n"/>
      <c r="D7" s="88" t="n"/>
      <c r="E7" s="88" t="n"/>
      <c r="F7" s="88" t="n"/>
      <c r="G7" s="88" t="n"/>
      <c r="H7" s="88" t="n"/>
      <c r="I7" s="88" t="n"/>
      <c r="J7" s="88" t="n"/>
      <c r="K7" s="88" t="n"/>
      <c r="L7" s="88" t="n"/>
      <c r="M7" s="88" t="n"/>
      <c r="N7" s="88" t="n"/>
      <c r="O7" s="88" t="n"/>
    </row>
    <row r="8">
      <c r="A8" s="90" t="n"/>
      <c r="B8" s="88" t="n"/>
      <c r="C8" s="88" t="n"/>
      <c r="D8" s="88" t="n"/>
      <c r="E8" s="88" t="n"/>
      <c r="F8" s="88" t="n"/>
      <c r="G8" s="88" t="n"/>
      <c r="H8" s="88" t="n"/>
      <c r="I8" s="88" t="n"/>
      <c r="J8" s="88" t="n"/>
      <c r="K8" s="88" t="n"/>
      <c r="L8" s="88" t="n"/>
      <c r="M8" s="88" t="n"/>
      <c r="N8" s="88" t="n"/>
      <c r="O8" s="88" t="n"/>
    </row>
    <row r="9">
      <c r="A9" s="90" t="n"/>
      <c r="B9" s="88" t="n"/>
      <c r="C9" s="88" t="n"/>
      <c r="D9" s="88" t="n"/>
      <c r="E9" s="88" t="n"/>
      <c r="F9" s="88" t="n"/>
      <c r="G9" s="88" t="n"/>
      <c r="H9" s="88" t="n"/>
      <c r="I9" s="88" t="n"/>
      <c r="J9" s="88" t="n"/>
      <c r="K9" s="88" t="n"/>
      <c r="L9" s="88" t="n"/>
      <c r="M9" s="88" t="n"/>
      <c r="N9" s="88" t="n"/>
      <c r="O9" s="88" t="n"/>
    </row>
    <row r="10">
      <c r="A10" s="90" t="n"/>
      <c r="B10" s="88" t="n"/>
      <c r="C10" s="88" t="n"/>
      <c r="D10" s="88" t="n"/>
      <c r="E10" s="88" t="n"/>
      <c r="F10" s="88" t="n"/>
      <c r="G10" s="88" t="n"/>
      <c r="H10" s="88" t="n"/>
      <c r="I10" s="88" t="n"/>
      <c r="J10" s="88" t="n"/>
      <c r="K10" s="88" t="n"/>
      <c r="L10" s="88" t="n"/>
      <c r="M10" s="88" t="n"/>
      <c r="N10" s="88" t="n"/>
      <c r="O10" s="88" t="n"/>
    </row>
    <row r="11">
      <c r="A11" s="90" t="n"/>
      <c r="B11" s="88" t="n"/>
      <c r="C11" s="88" t="n"/>
      <c r="D11" s="88" t="n"/>
      <c r="E11" s="88" t="n"/>
      <c r="F11" s="88" t="n"/>
      <c r="G11" s="88" t="n"/>
      <c r="H11" s="88" t="n"/>
      <c r="I11" s="88" t="n"/>
      <c r="J11" s="88" t="n"/>
      <c r="K11" s="88" t="n"/>
      <c r="L11" s="88" t="n"/>
      <c r="M11" s="88" t="n"/>
      <c r="N11" s="88" t="n"/>
      <c r="O11" s="88" t="n"/>
    </row>
    <row r="12">
      <c r="A12" s="90" t="n"/>
      <c r="B12" s="88" t="n"/>
      <c r="C12" s="88" t="n"/>
      <c r="D12" s="88" t="n"/>
      <c r="E12" s="88" t="n"/>
      <c r="F12" s="88" t="n"/>
      <c r="G12" s="88" t="n"/>
      <c r="H12" s="88" t="n"/>
      <c r="I12" s="88" t="n"/>
      <c r="J12" s="88" t="n"/>
      <c r="K12" s="88" t="n"/>
      <c r="L12" s="88" t="n"/>
      <c r="M12" s="88" t="n"/>
      <c r="N12" s="88" t="n"/>
      <c r="O12" s="88" t="n"/>
    </row>
    <row r="13">
      <c r="A13" s="90" t="n"/>
      <c r="B13" s="88" t="n"/>
      <c r="C13" s="88" t="n"/>
      <c r="D13" s="88" t="n"/>
      <c r="E13" s="88" t="n"/>
      <c r="F13" s="88" t="n"/>
      <c r="G13" s="88" t="n"/>
      <c r="H13" s="88" t="n"/>
      <c r="I13" s="88" t="n"/>
      <c r="J13" s="88" t="n"/>
      <c r="K13" s="88" t="n"/>
      <c r="L13" s="88" t="n"/>
      <c r="M13" s="88" t="n"/>
      <c r="N13" s="88" t="n"/>
      <c r="O13" s="88" t="n"/>
    </row>
    <row r="14">
      <c r="A14" s="90" t="n"/>
      <c r="B14" s="88" t="n"/>
      <c r="C14" s="88" t="n"/>
      <c r="D14" s="88" t="n"/>
      <c r="E14" s="88" t="n"/>
      <c r="F14" s="88" t="n"/>
      <c r="G14" s="88" t="n"/>
      <c r="H14" s="88" t="n"/>
      <c r="I14" s="88" t="n"/>
      <c r="J14" s="88" t="n"/>
      <c r="K14" s="88" t="n"/>
      <c r="L14" s="88" t="n"/>
      <c r="M14" s="88" t="n"/>
      <c r="N14" s="88" t="n"/>
      <c r="O14" s="88" t="n"/>
    </row>
    <row r="15">
      <c r="A15" s="90" t="n"/>
      <c r="B15" s="88" t="n"/>
      <c r="C15" s="88" t="n"/>
      <c r="D15" s="88" t="n"/>
      <c r="E15" s="88" t="n"/>
      <c r="F15" s="88" t="n"/>
      <c r="G15" s="88" t="n"/>
      <c r="H15" s="88" t="n"/>
      <c r="I15" s="88" t="n"/>
      <c r="J15" s="88" t="n"/>
      <c r="K15" s="88" t="n"/>
      <c r="L15" s="88" t="n"/>
      <c r="M15" s="88" t="n"/>
      <c r="N15" s="88" t="n"/>
      <c r="O15" s="88" t="n"/>
    </row>
    <row r="16">
      <c r="A16" s="90" t="n"/>
      <c r="B16" s="88" t="n"/>
      <c r="C16" s="88" t="n"/>
      <c r="D16" s="88" t="n"/>
      <c r="E16" s="88" t="n"/>
      <c r="F16" s="88" t="n"/>
      <c r="G16" s="88" t="n"/>
      <c r="H16" s="88" t="n"/>
      <c r="I16" s="88" t="n"/>
      <c r="J16" s="88" t="n"/>
      <c r="K16" s="88" t="n"/>
      <c r="L16" s="88" t="n"/>
      <c r="M16" s="88" t="n"/>
      <c r="N16" s="88" t="n"/>
      <c r="O16" s="88" t="n"/>
    </row>
    <row r="17">
      <c r="A17" s="90" t="n"/>
      <c r="B17" s="88" t="n"/>
      <c r="C17" s="88" t="n"/>
      <c r="D17" s="88" t="n"/>
      <c r="E17" s="88" t="n"/>
      <c r="F17" s="88" t="n"/>
      <c r="G17" s="88" t="n"/>
      <c r="H17" s="88" t="n"/>
      <c r="I17" s="88" t="n"/>
      <c r="J17" s="88" t="n"/>
      <c r="K17" s="88" t="n"/>
      <c r="L17" s="88" t="n"/>
      <c r="M17" s="88" t="n"/>
      <c r="N17" s="88" t="n"/>
      <c r="O17" s="88" t="n"/>
    </row>
    <row r="18">
      <c r="A18" s="90" t="n"/>
      <c r="B18" s="88" t="n"/>
      <c r="C18" s="88" t="n"/>
      <c r="D18" s="88" t="n"/>
      <c r="E18" s="88" t="n"/>
      <c r="F18" s="88" t="n"/>
      <c r="G18" s="88" t="n"/>
      <c r="H18" s="88" t="n"/>
      <c r="I18" s="88" t="n"/>
      <c r="J18" s="88" t="n"/>
      <c r="K18" s="88" t="n"/>
      <c r="L18" s="88" t="n"/>
      <c r="M18" s="88" t="n"/>
      <c r="N18" s="88" t="n"/>
      <c r="O18" s="88" t="n"/>
    </row>
    <row r="19">
      <c r="A19" s="90" t="n"/>
      <c r="B19" s="88" t="n"/>
      <c r="C19" s="88" t="n"/>
      <c r="D19" s="88" t="n"/>
      <c r="E19" s="88" t="n"/>
      <c r="F19" s="88" t="n"/>
      <c r="G19" s="88" t="n"/>
      <c r="H19" s="88" t="n"/>
      <c r="I19" s="88" t="n"/>
      <c r="J19" s="88" t="n"/>
      <c r="K19" s="88" t="n"/>
      <c r="L19" s="88" t="n"/>
      <c r="M19" s="88" t="n"/>
      <c r="N19" s="88" t="n"/>
      <c r="O19" s="88" t="n"/>
    </row>
    <row r="20">
      <c r="A20" s="90" t="n"/>
      <c r="B20" s="88" t="n"/>
      <c r="C20" s="88" t="n"/>
      <c r="D20" s="88" t="n"/>
      <c r="E20" s="88" t="n"/>
      <c r="F20" s="88" t="n"/>
      <c r="G20" s="88" t="n"/>
      <c r="H20" s="88" t="n"/>
      <c r="I20" s="88" t="n"/>
      <c r="J20" s="88" t="n"/>
      <c r="K20" s="88" t="n"/>
      <c r="L20" s="88" t="n"/>
      <c r="M20" s="88" t="n"/>
      <c r="N20" s="88" t="n"/>
      <c r="O20" s="88" t="n"/>
    </row>
    <row r="21">
      <c r="A21" s="90" t="n"/>
      <c r="B21" s="88" t="n"/>
      <c r="C21" s="88" t="n"/>
      <c r="D21" s="88" t="n"/>
      <c r="E21" s="88" t="n"/>
      <c r="F21" s="88" t="n"/>
      <c r="G21" s="88" t="n"/>
      <c r="H21" s="88" t="n"/>
      <c r="I21" s="88" t="n"/>
      <c r="J21" s="88" t="n"/>
      <c r="K21" s="88" t="n"/>
      <c r="L21" s="88" t="n"/>
      <c r="M21" s="88" t="n"/>
      <c r="N21" s="88" t="n"/>
      <c r="O21" s="88" t="n"/>
    </row>
    <row r="22">
      <c r="A22" s="90" t="n"/>
      <c r="B22" s="88" t="n"/>
      <c r="C22" s="88" t="n"/>
      <c r="D22" s="88" t="n"/>
      <c r="E22" s="88" t="n"/>
      <c r="F22" s="88" t="n"/>
      <c r="G22" s="88" t="n"/>
      <c r="H22" s="88" t="n"/>
      <c r="I22" s="88" t="n"/>
      <c r="J22" s="88" t="n"/>
      <c r="K22" s="88" t="n"/>
      <c r="L22" s="88" t="n"/>
      <c r="M22" s="88" t="n"/>
      <c r="N22" s="88" t="n"/>
      <c r="O22" s="88" t="n"/>
    </row>
    <row r="23">
      <c r="A23" s="90" t="n"/>
      <c r="B23" s="88" t="n"/>
      <c r="C23" s="88" t="n"/>
      <c r="D23" s="88" t="n"/>
      <c r="E23" s="88" t="n"/>
      <c r="F23" s="88" t="n"/>
      <c r="G23" s="88" t="n"/>
      <c r="H23" s="88" t="n"/>
      <c r="I23" s="88" t="n"/>
      <c r="J23" s="88" t="n"/>
      <c r="K23" s="88" t="n"/>
      <c r="L23" s="88" t="n"/>
      <c r="M23" s="88" t="n"/>
      <c r="N23" s="88" t="n"/>
      <c r="O23" s="88" t="n"/>
    </row>
    <row r="24">
      <c r="A24" s="90" t="n"/>
      <c r="B24" s="88" t="n"/>
      <c r="C24" s="88" t="n"/>
      <c r="D24" s="88" t="n"/>
      <c r="E24" s="88" t="n"/>
      <c r="F24" s="88" t="n"/>
      <c r="G24" s="88" t="n"/>
      <c r="H24" s="88" t="n"/>
      <c r="I24" s="88" t="n"/>
      <c r="J24" s="88" t="n"/>
      <c r="K24" s="88" t="n"/>
      <c r="L24" s="88" t="n"/>
      <c r="M24" s="88" t="n"/>
      <c r="N24" s="88" t="n"/>
      <c r="O24" s="88" t="n"/>
    </row>
    <row r="25">
      <c r="A25" s="90" t="n"/>
      <c r="B25" s="88" t="n"/>
      <c r="C25" s="88" t="n"/>
      <c r="D25" s="88" t="n"/>
      <c r="E25" s="88" t="n"/>
      <c r="F25" s="88" t="n"/>
      <c r="G25" s="88" t="n"/>
      <c r="H25" s="88" t="n"/>
      <c r="I25" s="88" t="n"/>
      <c r="J25" s="88" t="n"/>
      <c r="K25" s="88" t="n"/>
      <c r="L25" s="88" t="n"/>
      <c r="M25" s="88" t="n"/>
      <c r="N25" s="88" t="n"/>
      <c r="O25" s="88" t="n"/>
    </row>
    <row r="26">
      <c r="A26" s="90" t="n"/>
      <c r="B26" s="88" t="n"/>
      <c r="C26" s="88" t="n"/>
      <c r="D26" s="88" t="n"/>
      <c r="E26" s="88" t="n"/>
      <c r="F26" s="88" t="n"/>
      <c r="G26" s="88" t="n"/>
      <c r="H26" s="88" t="n"/>
      <c r="I26" s="88" t="n"/>
      <c r="J26" s="88" t="n"/>
      <c r="K26" s="88" t="n"/>
      <c r="L26" s="88" t="n"/>
      <c r="M26" s="88" t="n"/>
      <c r="N26" s="88" t="n"/>
      <c r="O26" s="88" t="n"/>
    </row>
    <row r="27">
      <c r="A27" s="90" t="n"/>
      <c r="B27" s="88" t="n"/>
      <c r="C27" s="88" t="n"/>
      <c r="D27" s="88" t="n"/>
      <c r="E27" s="88" t="n"/>
      <c r="F27" s="88" t="n"/>
      <c r="G27" s="88" t="n"/>
      <c r="H27" s="88" t="n"/>
      <c r="I27" s="88" t="n"/>
      <c r="J27" s="88" t="n"/>
      <c r="K27" s="88" t="n"/>
      <c r="L27" s="88" t="n"/>
      <c r="M27" s="88" t="n"/>
      <c r="N27" s="88" t="n"/>
      <c r="O27" s="88" t="n"/>
    </row>
    <row r="28">
      <c r="A28" s="90" t="n"/>
      <c r="B28" s="88" t="n"/>
      <c r="C28" s="88" t="n"/>
      <c r="D28" s="88" t="n"/>
      <c r="E28" s="88" t="n"/>
      <c r="F28" s="88" t="n"/>
      <c r="G28" s="88" t="n"/>
      <c r="H28" s="88" t="n"/>
      <c r="I28" s="88" t="n"/>
      <c r="J28" s="88" t="n"/>
      <c r="K28" s="88" t="n"/>
      <c r="L28" s="88" t="n"/>
      <c r="M28" s="88" t="n"/>
      <c r="N28" s="88" t="n"/>
      <c r="O28" s="88" t="n"/>
    </row>
    <row r="29">
      <c r="A29" s="90" t="n"/>
      <c r="B29" s="88" t="n"/>
      <c r="C29" s="88" t="n"/>
      <c r="D29" s="88" t="n"/>
      <c r="E29" s="88" t="n"/>
      <c r="F29" s="88" t="n"/>
      <c r="G29" s="88" t="n"/>
      <c r="H29" s="88" t="n"/>
      <c r="I29" s="88" t="n"/>
      <c r="J29" s="88" t="n"/>
      <c r="K29" s="88" t="n"/>
      <c r="L29" s="88" t="n"/>
      <c r="M29" s="88" t="n"/>
      <c r="N29" s="88" t="n"/>
      <c r="O29" s="88" t="n"/>
    </row>
    <row r="30">
      <c r="A30" s="90" t="n"/>
      <c r="B30" s="88" t="n"/>
      <c r="C30" s="88" t="n"/>
      <c r="D30" s="88" t="n"/>
      <c r="E30" s="88" t="n"/>
      <c r="F30" s="88" t="n"/>
      <c r="G30" s="88" t="n"/>
      <c r="H30" s="88" t="n"/>
      <c r="I30" s="88" t="n"/>
      <c r="J30" s="88" t="n"/>
      <c r="K30" s="88" t="n"/>
      <c r="L30" s="88" t="n"/>
      <c r="M30" s="88" t="n"/>
      <c r="N30" s="88" t="n"/>
      <c r="O30" s="88" t="n"/>
    </row>
    <row r="31">
      <c r="A31" s="90" t="n"/>
      <c r="B31" s="88" t="n"/>
      <c r="C31" s="88" t="n"/>
      <c r="D31" s="88" t="n"/>
      <c r="E31" s="88" t="n"/>
      <c r="F31" s="88" t="n"/>
      <c r="G31" s="88" t="n"/>
      <c r="H31" s="88" t="n"/>
      <c r="I31" s="88" t="n"/>
      <c r="J31" s="88" t="n"/>
      <c r="K31" s="88" t="n"/>
      <c r="L31" s="88" t="n"/>
      <c r="M31" s="88" t="n"/>
      <c r="N31" s="88" t="n"/>
      <c r="O31" s="88" t="n"/>
    </row>
    <row r="32">
      <c r="A32" s="90" t="n"/>
      <c r="B32" s="88" t="n"/>
      <c r="C32" s="88" t="n"/>
      <c r="D32" s="88" t="n"/>
      <c r="E32" s="88" t="n"/>
      <c r="F32" s="88" t="n"/>
      <c r="G32" s="88" t="n"/>
      <c r="H32" s="88" t="n"/>
      <c r="I32" s="88" t="n"/>
      <c r="J32" s="88" t="n"/>
      <c r="K32" s="88" t="n"/>
      <c r="L32" s="88" t="n"/>
      <c r="M32" s="88" t="n"/>
      <c r="N32" s="88" t="n"/>
      <c r="O32" s="88" t="n"/>
    </row>
    <row r="33">
      <c r="L33" s="15" t="n"/>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B8"/>
  <sheetViews>
    <sheetView workbookViewId="0">
      <selection activeCell="F7" sqref="F7"/>
    </sheetView>
  </sheetViews>
  <sheetFormatPr baseColWidth="8" defaultRowHeight="15"/>
  <cols>
    <col width="39.42578125" customWidth="1" min="1" max="1"/>
    <col width="14.42578125" customWidth="1" min="2" max="2"/>
  </cols>
  <sheetData>
    <row r="1">
      <c r="A1" s="87" t="n"/>
      <c r="B1" s="87" t="n"/>
    </row>
    <row r="2">
      <c r="A2" s="87" t="n"/>
      <c r="B2" s="88" t="n"/>
    </row>
    <row r="3">
      <c r="A3" s="87" t="n"/>
      <c r="B3" s="88" t="n"/>
    </row>
    <row r="4">
      <c r="A4" s="87" t="n"/>
      <c r="B4" s="88" t="n"/>
    </row>
    <row r="5">
      <c r="A5" s="87" t="n"/>
      <c r="B5" s="88" t="n"/>
    </row>
    <row r="6">
      <c r="A6" s="87" t="n"/>
      <c r="B6" s="88" t="n"/>
    </row>
    <row r="7">
      <c r="A7" s="87" t="n"/>
      <c r="B7" s="88" t="n"/>
    </row>
    <row r="8">
      <c r="A8" s="87" t="n"/>
      <c r="B8" s="88"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2026-02-11T16:34:11Z</dcterms:created>
  <dcterms:modified xsi:type="dcterms:W3CDTF">2026-03-28T23:41:35Z</dcterms:modified>
</cp:coreProperties>
</file>